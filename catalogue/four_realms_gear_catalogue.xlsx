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Weapons" sheetId="2" state="visible" r:id="rId4"/>
    <sheet name="Armour" sheetId="3" state="visible" r:id="rId5"/>
    <sheet name="Relics" sheetId="4" state="visible" r:id="rId6"/>
    <sheet name="Consumables" sheetId="5" state="visible" r:id="rId7"/>
    <sheet name="Other ideas" sheetId="6" state="visible" r:id="rId8"/>
    <sheet name="Tuning" sheetId="7" state="visible" r:id="rId9"/>
    <sheet name="Your list" sheetId="8" state="visible" r:id="rId10"/>
  </sheets>
  <definedNames>
    <definedName function="false" hidden="false" localSheetId="2" name="_xlnm.Print_Titles" vbProcedure="false">Armour!$1:$1</definedName>
    <definedName function="false" hidden="true" localSheetId="2" name="_xlnm._FilterDatabase" vbProcedure="false">Armour!$A$1:$J$18</definedName>
    <definedName function="false" hidden="false" localSheetId="4" name="_xlnm.Print_Titles" vbProcedure="false">Consumables!$1:$1</definedName>
    <definedName function="false" hidden="true" localSheetId="4" name="_xlnm._FilterDatabase" vbProcedure="false">Consumables!$A$1:$H$22</definedName>
    <definedName function="false" hidden="false" localSheetId="5" name="_xlnm.Print_Titles" vbProcedure="false">'Other ideas'!$1:$1</definedName>
    <definedName function="false" hidden="true" localSheetId="5" name="_xlnm._FilterDatabase" vbProcedure="false">'Other ideas'!$A$1:$F$14</definedName>
    <definedName function="false" hidden="false" localSheetId="3" name="_xlnm.Print_Titles" vbProcedure="false">Relics!$1:$1</definedName>
    <definedName function="false" hidden="true" localSheetId="3" name="_xlnm._FilterDatabase" vbProcedure="false">Relics!$A$1:$H$54</definedName>
    <definedName function="false" hidden="false" localSheetId="1" name="_xlnm.Print_Titles" vbProcedure="false">Weapons!$1:$1</definedName>
    <definedName function="false" hidden="true" localSheetId="1" name="_xlnm._FilterDatabase" vbProcedure="false">Weapons!$A$1:$Q$102</definedName>
    <definedName function="false" hidden="false" localSheetId="7" name="_xlnm.Print_Titles" vbProcedure="false">'Your list'!$1:$1</definedName>
    <definedName function="false" hidden="true" localSheetId="7" name="_xlnm._FilterDatabase" vbProcedure="false">'Your list'!$A$1:$E$186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<sst xmlns="http://schemas.openxmlformats.org/spreadsheetml/2006/main" count="2325" uniqueCount="1310">
  <si>
    <t xml:space="preserve">Four Realms: Gear Catalogue</t>
  </si>
  <si>
    <t xml:space="preserve">Built from your 185-row list of fictional weapons and artifacts.</t>
  </si>
  <si>
    <t xml:space="preserve">What's inside</t>
  </si>
  <si>
    <t xml:space="preserve">101 weapons across 15 archetypes, 17 armours, 53 relics, 21 consumables and 13 other ideas (materials, hub features, boss mechanics).</t>
  </si>
  <si>
    <t xml:space="preserve">Names and effects are original, so the game ships no franchise names or designs. The Your rows column links each item back to your list, and the Your list sheet maps all 185 rows.</t>
  </si>
  <si>
    <t xml:space="preserve">22 items are new designs that fill gaps in your list: starter weapons, bio-launchers, basic potions and armour.</t>
  </si>
  <si>
    <t xml:space="preserve">Boss names other than the Iron Warlord (Hollow King, Fallen Seraph, Hive Mother) are placeholders.</t>
  </si>
  <si>
    <t xml:space="preserve">How to tune</t>
  </si>
  <si>
    <t xml:space="preserve">Blue cells are inputs: base stats per archetype and multipliers per rarity on the Tuning sheet, plus each weapon's damage and speed tweaks on the Weapons sheet.</t>
  </si>
  <si>
    <t xml:space="preserve">Damage, Attacks/s, DPS, Range, armour stats and store prices are formulas, so they update when an input changes.</t>
  </si>
  <si>
    <t xml:space="preserve">Best for is the race whose affinity gives +10% damage with that archetype. Stats are level-1 values, before item level, forge upgrades and affixes.</t>
  </si>
  <si>
    <t xml:space="preserve">Stage is when the item ships, following the plan's roadmap.</t>
  </si>
  <si>
    <t xml:space="preserve">Counts by stage</t>
  </si>
  <si>
    <t xml:space="preserve">Stage</t>
  </si>
  <si>
    <t xml:space="preserve">New weapons</t>
  </si>
  <si>
    <t xml:space="preserve">Weapons in game</t>
  </si>
  <si>
    <t xml:space="preserve">Armour</t>
  </si>
  <si>
    <t xml:space="preserve">Relics</t>
  </si>
  <si>
    <t xml:space="preserve">Consumables</t>
  </si>
  <si>
    <t xml:space="preserve">Total</t>
  </si>
  <si>
    <t xml:space="preserve">Rarity colours</t>
  </si>
  <si>
    <t xml:space="preserve">Common</t>
  </si>
  <si>
    <t xml:space="preserve">Uncommon</t>
  </si>
  <si>
    <t xml:space="preserve">Rare</t>
  </si>
  <si>
    <t xml:space="preserve">Epic</t>
  </si>
  <si>
    <t xml:space="preserve">Legendary</t>
  </si>
  <si>
    <t xml:space="preserve">Mythic</t>
  </si>
  <si>
    <t xml:space="preserve">ID</t>
  </si>
  <si>
    <t xml:space="preserve">Name</t>
  </si>
  <si>
    <t xml:space="preserve">Archetype</t>
  </si>
  <si>
    <t xml:space="preserve">Best for</t>
  </si>
  <si>
    <t xml:space="preserve">Element</t>
  </si>
  <si>
    <t xml:space="preserve">Rarity</t>
  </si>
  <si>
    <t xml:space="preserve">Signature effect</t>
  </si>
  <si>
    <t xml:space="preserve">How to get</t>
  </si>
  <si>
    <t xml:space="preserve">Set</t>
  </si>
  <si>
    <t xml:space="preserve">Damage tweak</t>
  </si>
  <si>
    <t xml:space="preserve">Speed tweak</t>
  </si>
  <si>
    <t xml:space="preserve">Damage</t>
  </si>
  <si>
    <t xml:space="preserve">Attacks/s</t>
  </si>
  <si>
    <t xml:space="preserve">DPS</t>
  </si>
  <si>
    <t xml:space="preserve">Range (px)</t>
  </si>
  <si>
    <t xml:space="preserve">Your rows</t>
  </si>
  <si>
    <t xml:space="preserve">W001</t>
  </si>
  <si>
    <t xml:space="preserve">Militia Blade</t>
  </si>
  <si>
    <t xml:space="preserve">Sword</t>
  </si>
  <si>
    <t xml:space="preserve">Physical</t>
  </si>
  <si>
    <t xml:space="preserve">Reliable 3-hit combo; the third hit staggers Minions.</t>
  </si>
  <si>
    <t xml:space="preserve">Starter (Human); drop: Act 1</t>
  </si>
  <si>
    <t xml:space="preserve">New design</t>
  </si>
  <si>
    <t xml:space="preserve">W002</t>
  </si>
  <si>
    <t xml:space="preserve">Shadow Ninjato Pair</t>
  </si>
  <si>
    <t xml:space="preserve">Fast twin blades; hits from behind always crit.</t>
  </si>
  <si>
    <t xml:space="preserve">Drop: Act 1; store</t>
  </si>
  <si>
    <t xml:space="preserve">181</t>
  </si>
  <si>
    <t xml:space="preserve">W003</t>
  </si>
  <si>
    <t xml:space="preserve">Glimmer Shortsword</t>
  </si>
  <si>
    <t xml:space="preserve">Glows brighter as your combo grows; at x5 combo it gains +20% crit chance.</t>
  </si>
  <si>
    <t xml:space="preserve">Drop: Act 1 Elites</t>
  </si>
  <si>
    <t xml:space="preserve">88</t>
  </si>
  <si>
    <t xml:space="preserve">W004</t>
  </si>
  <si>
    <t xml:space="preserve">Iron Cleaver</t>
  </si>
  <si>
    <t xml:space="preserve">Greatsword</t>
  </si>
  <si>
    <t xml:space="preserve">Wide arc; a charged slam knocks Minions down.</t>
  </si>
  <si>
    <t xml:space="preserve">Starter (Demon); drop: Act 1</t>
  </si>
  <si>
    <t xml:space="preserve">W005</t>
  </si>
  <si>
    <t xml:space="preserve">Squash Mallet</t>
  </si>
  <si>
    <t xml:space="preserve">Charged slam flattens enemies, stunning them for 1.5 s.</t>
  </si>
  <si>
    <t xml:space="preserve">185</t>
  </si>
  <si>
    <t xml:space="preserve">W006</t>
  </si>
  <si>
    <t xml:space="preserve">Gatebreaker Ram</t>
  </si>
  <si>
    <t xml:space="preserve">Charged slam breaks shields and armour; bosses take 30% more stagger.</t>
  </si>
  <si>
    <t xml:space="preserve">Boss: Iron Warlord (signature drop)</t>
  </si>
  <si>
    <t xml:space="preserve">93</t>
  </si>
  <si>
    <t xml:space="preserve">W007</t>
  </si>
  <si>
    <t xml:space="preserve">Ashwood Staff</t>
  </si>
  <si>
    <t xml:space="preserve">Staff</t>
  </si>
  <si>
    <t xml:space="preserve">Radiant</t>
  </si>
  <si>
    <t xml:space="preserve">Homing bolts; every 5th bolt splits in two.</t>
  </si>
  <si>
    <t xml:space="preserve">Starter (God); drop: Act 1</t>
  </si>
  <si>
    <t xml:space="preserve">W008</t>
  </si>
  <si>
    <t xml:space="preserve">Horned Scepter</t>
  </si>
  <si>
    <t xml:space="preserve">Hellfire</t>
  </si>
  <si>
    <t xml:space="preserve">Bolts curse enemies: cursed targets take 15% more damage for 4 s.</t>
  </si>
  <si>
    <t xml:space="preserve">179</t>
  </si>
  <si>
    <t xml:space="preserve">W009</t>
  </si>
  <si>
    <t xml:space="preserve">Gale Staff</t>
  </si>
  <si>
    <t xml:space="preserve">Weapon skill releases an air burst that knocks back everything around you.</t>
  </si>
  <si>
    <t xml:space="preserve">137</t>
  </si>
  <si>
    <t xml:space="preserve">W010</t>
  </si>
  <si>
    <t xml:space="preserve">Scrap Torch</t>
  </si>
  <si>
    <t xml:space="preserve">Energy beam</t>
  </si>
  <si>
    <t xml:space="preserve">Short welding beam; damage rises 10% per second on one target (max +50%).</t>
  </si>
  <si>
    <t xml:space="preserve">Starter (Alien); drop: Act 1</t>
  </si>
  <si>
    <t xml:space="preserve">W011</t>
  </si>
  <si>
    <t xml:space="preserve">Torchline Cutter</t>
  </si>
  <si>
    <t xml:space="preserve">Narrow beam that ignores 25% of armour and cuts shields twice as fast.</t>
  </si>
  <si>
    <t xml:space="preserve">6</t>
  </si>
  <si>
    <t xml:space="preserve">W012</t>
  </si>
  <si>
    <t xml:space="preserve">Carnelian Prism</t>
  </si>
  <si>
    <t xml:space="preserve">The beam bounces off walls up to 2 times.</t>
  </si>
  <si>
    <t xml:space="preserve">135</t>
  </si>
  <si>
    <t xml:space="preserve">W013</t>
  </si>
  <si>
    <t xml:space="preserve">Hip Repeater</t>
  </si>
  <si>
    <t xml:space="preserve">Pistol</t>
  </si>
  <si>
    <t xml:space="preserve">Full-auto while you move; the spread widens when you stand still.</t>
  </si>
  <si>
    <t xml:space="preserve">Drop: Acts 1-2; store</t>
  </si>
  <si>
    <t xml:space="preserve">158</t>
  </si>
  <si>
    <t xml:space="preserve">W014</t>
  </si>
  <si>
    <t xml:space="preserve">Silkline Shooters</t>
  </si>
  <si>
    <t xml:space="preserve">Shots stick and slow by 40%; 3 hits within 2 s root the target for 1.5 s.</t>
  </si>
  <si>
    <t xml:space="preserve">Drop: Acts 1-2</t>
  </si>
  <si>
    <t xml:space="preserve">20</t>
  </si>
  <si>
    <t xml:space="preserve">W015</t>
  </si>
  <si>
    <t xml:space="preserve">Kinetic Palms</t>
  </si>
  <si>
    <t xml:space="preserve">Every blast knocks enemies back; firing during a dash extends it by 50%.</t>
  </si>
  <si>
    <t xml:space="preserve">Drop: Act 2 Elites</t>
  </si>
  <si>
    <t xml:space="preserve">3</t>
  </si>
  <si>
    <t xml:space="preserve">W016</t>
  </si>
  <si>
    <t xml:space="preserve">Concussion Cannons</t>
  </si>
  <si>
    <t xml:space="preserve">Twin sonic shots pierce; hitting one enemy with both stuns it for 0.5 s.</t>
  </si>
  <si>
    <t xml:space="preserve">36</t>
  </si>
  <si>
    <t xml:space="preserve">W017</t>
  </si>
  <si>
    <t xml:space="preserve">Rageflare Bolts</t>
  </si>
  <si>
    <t xml:space="preserve">+1% damage for every 2% of your resource bar that is full (max +50%).</t>
  </si>
  <si>
    <t xml:space="preserve">Drop: Act 2 Champions</t>
  </si>
  <si>
    <t xml:space="preserve">170</t>
  </si>
  <si>
    <t xml:space="preserve">W018</t>
  </si>
  <si>
    <t xml:space="preserve">Reaper's Hook</t>
  </si>
  <si>
    <t xml:space="preserve">Scythe</t>
  </si>
  <si>
    <t xml:space="preserve">360-degree sweep; each kill restores 2 resource.</t>
  </si>
  <si>
    <t xml:space="preserve">Store; drop: Act 2</t>
  </si>
  <si>
    <t xml:space="preserve">W019</t>
  </si>
  <si>
    <t xml:space="preserve">Harvest Crescent</t>
  </si>
  <si>
    <t xml:space="preserve">Every third sweep pulls enemies 1 m inward.</t>
  </si>
  <si>
    <t xml:space="preserve">Drop: Act 2</t>
  </si>
  <si>
    <t xml:space="preserve">W020</t>
  </si>
  <si>
    <t xml:space="preserve">Bloodforged Scythe</t>
  </si>
  <si>
    <t xml:space="preserve">Each hit costs 1 HP and deals 35% more damage; kills refund 5 HP.</t>
  </si>
  <si>
    <t xml:space="preserve">Boss: Hollow King (signature drop)</t>
  </si>
  <si>
    <t xml:space="preserve">161</t>
  </si>
  <si>
    <t xml:space="preserve">W021</t>
  </si>
  <si>
    <t xml:space="preserve">Godreaper Scythe</t>
  </si>
  <si>
    <t xml:space="preserve">+50% damage to Empyrean enemies; each kill raises a shadow beast that fights for 6 s.</t>
  </si>
  <si>
    <t xml:space="preserve">Arc finale: Act 2</t>
  </si>
  <si>
    <t xml:space="preserve">Hollow Crown</t>
  </si>
  <si>
    <t xml:space="preserve">46</t>
  </si>
  <si>
    <t xml:space="preserve">W022</t>
  </si>
  <si>
    <t xml:space="preserve">Quickstrike Bo</t>
  </si>
  <si>
    <t xml:space="preserve">Spear</t>
  </si>
  <si>
    <t xml:space="preserve">Every 4th strike sweeps 360 degrees.</t>
  </si>
  <si>
    <t xml:space="preserve">166, 181</t>
  </si>
  <si>
    <t xml:space="preserve">W023</t>
  </si>
  <si>
    <t xml:space="preserve">Hunter's Pike</t>
  </si>
  <si>
    <t xml:space="preserve">Hold attack to throw it; the weapon skill recalls it through enemies.</t>
  </si>
  <si>
    <t xml:space="preserve">124</t>
  </si>
  <si>
    <t xml:space="preserve">W024</t>
  </si>
  <si>
    <t xml:space="preserve">Binding Lariat</t>
  </si>
  <si>
    <t xml:space="preserve">A long lash that pulls the target to you; bound enemies can't use abilities for 3 s.</t>
  </si>
  <si>
    <t xml:space="preserve">66</t>
  </si>
  <si>
    <t xml:space="preserve">W025</t>
  </si>
  <si>
    <t xml:space="preserve">Tidecaller Trident</t>
  </si>
  <si>
    <t xml:space="preserve">Weapon skill sends a wave that pushes all enemies back; in water it also calls two tide serpents for 10 s.</t>
  </si>
  <si>
    <t xml:space="preserve">Quest: The Drowned Gate (Act 2)</t>
  </si>
  <si>
    <t xml:space="preserve">75, 184</t>
  </si>
  <si>
    <t xml:space="preserve">W026</t>
  </si>
  <si>
    <t xml:space="preserve">Buzz Drone</t>
  </si>
  <si>
    <t xml:space="preserve">Drone</t>
  </si>
  <si>
    <t xml:space="preserve">Void</t>
  </si>
  <si>
    <t xml:space="preserve">Fires small bolts at the nearest enemy.</t>
  </si>
  <si>
    <t xml:space="preserve">W027</t>
  </si>
  <si>
    <t xml:space="preserve">Kite Drone</t>
  </si>
  <si>
    <t xml:space="preserve">Marks the nearest Elite (it takes 15% more damage) and pecks it with lasers.</t>
  </si>
  <si>
    <t xml:space="preserve">19</t>
  </si>
  <si>
    <t xml:space="preserve">W028</t>
  </si>
  <si>
    <t xml:space="preserve">Overzealous Drone</t>
  </si>
  <si>
    <t xml:space="preserve">Fires 50% faster and also shoots breakable props, which can drop coins.</t>
  </si>
  <si>
    <t xml:space="preserve">Gold Rush</t>
  </si>
  <si>
    <t xml:space="preserve">149</t>
  </si>
  <si>
    <t xml:space="preserve">W029</t>
  </si>
  <si>
    <t xml:space="preserve">Kinblade Pair</t>
  </si>
  <si>
    <t xml:space="preserve">Dual blades; every 4th hit is a cross-slash dealing double damage to Grunts and Brutes.</t>
  </si>
  <si>
    <t xml:space="preserve">Drop: Acts 1-2 Elites</t>
  </si>
  <si>
    <t xml:space="preserve">89</t>
  </si>
  <si>
    <t xml:space="preserve">W030</t>
  </si>
  <si>
    <t xml:space="preserve">Quillblade</t>
  </si>
  <si>
    <t xml:space="preserve">As your sub weapon, it gives your main weapon +10% crit chance.</t>
  </si>
  <si>
    <t xml:space="preserve">Store</t>
  </si>
  <si>
    <t xml:space="preserve">108</t>
  </si>
  <si>
    <t xml:space="preserve">W031</t>
  </si>
  <si>
    <t xml:space="preserve">Twin Ember Sabres</t>
  </si>
  <si>
    <t xml:space="preserve">Twin sabres; every 3rd strike sends out a wave of fire.</t>
  </si>
  <si>
    <t xml:space="preserve">140</t>
  </si>
  <si>
    <t xml:space="preserve">W032</t>
  </si>
  <si>
    <t xml:space="preserve">Rippleforge Longsword</t>
  </si>
  <si>
    <t xml:space="preserve">Ignores 30% of armour and swings 20% faster.</t>
  </si>
  <si>
    <t xml:space="preserve">Store (rotating shelf)</t>
  </si>
  <si>
    <t xml:space="preserve">104</t>
  </si>
  <si>
    <t xml:space="preserve">W033</t>
  </si>
  <si>
    <t xml:space="preserve">Thornbound Blade</t>
  </si>
  <si>
    <t xml:space="preserve">Cursed: once equipped it stays until the mission ends; every hit roots enemies for 0.3 s.</t>
  </si>
  <si>
    <t xml:space="preserve">Drop: Acts 1-2 Champions</t>
  </si>
  <si>
    <t xml:space="preserve">160</t>
  </si>
  <si>
    <t xml:space="preserve">W034</t>
  </si>
  <si>
    <t xml:space="preserve">Gilded Spatula</t>
  </si>
  <si>
    <t xml:space="preserve">Flips enemies into the air for 1 s; kills drop snacks that heal 3% HP.</t>
  </si>
  <si>
    <t xml:space="preserve">Gold Rush (rare drop)</t>
  </si>
  <si>
    <t xml:space="preserve">184</t>
  </si>
  <si>
    <t xml:space="preserve">W035</t>
  </si>
  <si>
    <t xml:space="preserve">Chimera Sabre</t>
  </si>
  <si>
    <t xml:space="preserve">Takes the element of the last Champion or boss it killed (+20% damage of that element).</t>
  </si>
  <si>
    <t xml:space="preserve">98</t>
  </si>
  <si>
    <t xml:space="preserve">W036</t>
  </si>
  <si>
    <t xml:space="preserve">Runeguard Claymore</t>
  </si>
  <si>
    <t xml:space="preserve">While you charge a heavy attack you take 50% less damage.</t>
  </si>
  <si>
    <t xml:space="preserve">157</t>
  </si>
  <si>
    <t xml:space="preserve">W037</t>
  </si>
  <si>
    <t xml:space="preserve">Nightglass Greatblade</t>
  </si>
  <si>
    <t xml:space="preserve">Each hit landed without being hit adds Bloodlust (+5% damage, -3% defence, max 8); a hit on you clears it.</t>
  </si>
  <si>
    <t xml:space="preserve">48</t>
  </si>
  <si>
    <t xml:space="preserve">W038</t>
  </si>
  <si>
    <t xml:space="preserve">Thunderchord Axe</t>
  </si>
  <si>
    <t xml:space="preserve">Heavy hits play notes; striking as the pulsing beat ring closes deals double damage.</t>
  </si>
  <si>
    <t xml:space="preserve">165</t>
  </si>
  <si>
    <t xml:space="preserve">W039</t>
  </si>
  <si>
    <t xml:space="preserve">Duality Tomes</t>
  </si>
  <si>
    <t xml:space="preserve">Radiant + Hellfire</t>
  </si>
  <si>
    <t xml:space="preserve">Alternates radiant and hellfire bolts; landing both on one enemy within 2 s triggers a burst.</t>
  </si>
  <si>
    <t xml:space="preserve">31</t>
  </si>
  <si>
    <t xml:space="preserve">W040</t>
  </si>
  <si>
    <t xml:space="preserve">Conqueror's Wand</t>
  </si>
  <si>
    <t xml:space="preserve">+5% damage for each boss defeated while it is equipped (max +50%).</t>
  </si>
  <si>
    <t xml:space="preserve">Boss shop (Boss Tokens)</t>
  </si>
  <si>
    <t xml:space="preserve">95</t>
  </si>
  <si>
    <t xml:space="preserve">W041</t>
  </si>
  <si>
    <t xml:space="preserve">Rime Projector</t>
  </si>
  <si>
    <t xml:space="preserve">A short cone that slows; 2 s of exposure freezes enemies for 1 s.</t>
  </si>
  <si>
    <t xml:space="preserve">60</t>
  </si>
  <si>
    <t xml:space="preserve">W042</t>
  </si>
  <si>
    <t xml:space="preserve">Core Lance</t>
  </si>
  <si>
    <t xml:space="preserve">Drains resource instead of building heat; damage rises the longer it stays on one target.</t>
  </si>
  <si>
    <t xml:space="preserve">4</t>
  </si>
  <si>
    <t xml:space="preserve">W043</t>
  </si>
  <si>
    <t xml:space="preserve">Hexfire Hands</t>
  </si>
  <si>
    <t xml:space="preserve">A chain beam that arcs between up to 4 enemies; damage grows the longer you channel.</t>
  </si>
  <si>
    <t xml:space="preserve">116</t>
  </si>
  <si>
    <t xml:space="preserve">W044</t>
  </si>
  <si>
    <t xml:space="preserve">Scrapheap Scattergun</t>
  </si>
  <si>
    <t xml:space="preserve">Shotgun</t>
  </si>
  <si>
    <t xml:space="preserve">Fires random junk; each blast rolls a bonus: burn, slow or knockback.</t>
  </si>
  <si>
    <t xml:space="preserve">Store; drop: Act 1 replays</t>
  </si>
  <si>
    <t xml:space="preserve">183</t>
  </si>
  <si>
    <t xml:space="preserve">W045</t>
  </si>
  <si>
    <t xml:space="preserve">Breaching Shotgun</t>
  </si>
  <si>
    <t xml:space="preserve">Point-blank blasts break an enemy shield in one hit.</t>
  </si>
  <si>
    <t xml:space="preserve">W046</t>
  </si>
  <si>
    <t xml:space="preserve">Noiseblaster Arm</t>
  </si>
  <si>
    <t xml:space="preserve">A cone of sonic force; enemies pushed into walls take 50% more damage.</t>
  </si>
  <si>
    <t xml:space="preserve">Drop: Act 4 Elites</t>
  </si>
  <si>
    <t xml:space="preserve">168</t>
  </si>
  <si>
    <t xml:space="preserve">W047</t>
  </si>
  <si>
    <t xml:space="preserve">Ember Blunderbuss</t>
  </si>
  <si>
    <t xml:space="preserve">Pellets ignite; burning enemies take double pellet damage.</t>
  </si>
  <si>
    <t xml:space="preserve">Drop: Act 3 Champions</t>
  </si>
  <si>
    <t xml:space="preserve">W048</t>
  </si>
  <si>
    <t xml:space="preserve">Longshot Musket</t>
  </si>
  <si>
    <t xml:space="preserve">Rifle</t>
  </si>
  <si>
    <t xml:space="preserve">Charged shots pierce one extra enemy.</t>
  </si>
  <si>
    <t xml:space="preserve">W049</t>
  </si>
  <si>
    <t xml:space="preserve">Arcbolt Crossbow</t>
  </si>
  <si>
    <t xml:space="preserve">Bolts explode 1 s after embedding and chain to bolts in nearby enemies.</t>
  </si>
  <si>
    <t xml:space="preserve">Drop: Act 3</t>
  </si>
  <si>
    <t xml:space="preserve">114</t>
  </si>
  <si>
    <t xml:space="preserve">W050</t>
  </si>
  <si>
    <t xml:space="preserve">Swapframe</t>
  </si>
  <si>
    <t xml:space="preserve">Weapon skill cycles its form: rifle, energy blade or net launcher.</t>
  </si>
  <si>
    <t xml:space="preserve">Drop: Act 4 Champions</t>
  </si>
  <si>
    <t xml:space="preserve">132</t>
  </si>
  <si>
    <t xml:space="preserve">W051</t>
  </si>
  <si>
    <t xml:space="preserve">Steersong Arrow</t>
  </si>
  <si>
    <t xml:space="preserve">Hold aim after firing to steer the arrow through enemies for 2 s.</t>
  </si>
  <si>
    <t xml:space="preserve">47</t>
  </si>
  <si>
    <t xml:space="preserve">W052</t>
  </si>
  <si>
    <t xml:space="preserve">Rift Destabilizer</t>
  </si>
  <si>
    <t xml:space="preserve">Charged shots punch through everything in a line; +100% damage to Rift Lords.</t>
  </si>
  <si>
    <t xml:space="preserve">Quest: The Null Engine (Act 4)</t>
  </si>
  <si>
    <t xml:space="preserve">173</t>
  </si>
  <si>
    <t xml:space="preserve">W053</t>
  </si>
  <si>
    <t xml:space="preserve">Stunknuckle</t>
  </si>
  <si>
    <t xml:space="preserve">Claws</t>
  </si>
  <si>
    <t xml:space="preserve">Every 3rd hit shocks, stunning Minions for 0.5 s.</t>
  </si>
  <si>
    <t xml:space="preserve">144</t>
  </si>
  <si>
    <t xml:space="preserve">W054</t>
  </si>
  <si>
    <t xml:space="preserve">Twin Sai</t>
  </si>
  <si>
    <t xml:space="preserve">Parrying with them disarms Minions, which can't attack for 3 s.</t>
  </si>
  <si>
    <t xml:space="preserve">W055</t>
  </si>
  <si>
    <t xml:space="preserve">Chain Flail Sticks</t>
  </si>
  <si>
    <t xml:space="preserve">Every 6th hit becomes a whirlwind spin.</t>
  </si>
  <si>
    <t xml:space="preserve">Drop: Act 3 Elites</t>
  </si>
  <si>
    <t xml:space="preserve">W056</t>
  </si>
  <si>
    <t xml:space="preserve">Shatterclaws</t>
  </si>
  <si>
    <t xml:space="preserve">Hits shred armour (-2 defence, stacks 5) and instantly break Shielded Elites.</t>
  </si>
  <si>
    <t xml:space="preserve">33</t>
  </si>
  <si>
    <t xml:space="preserve">W057</t>
  </si>
  <si>
    <t xml:space="preserve">Shardstitch Knife</t>
  </si>
  <si>
    <t xml:space="preserve">Hits embed shards; at 5 shards the target bursts into hellfire and is slowed by 50%.</t>
  </si>
  <si>
    <t xml:space="preserve">94</t>
  </si>
  <si>
    <t xml:space="preserve">W058</t>
  </si>
  <si>
    <t xml:space="preserve">Leviathan Fang</t>
  </si>
  <si>
    <t xml:space="preserve">+3% damage per second in combat (max +30%); the bonus fades after 10 s out of combat.</t>
  </si>
  <si>
    <t xml:space="preserve">119</t>
  </si>
  <si>
    <t xml:space="preserve">W059</t>
  </si>
  <si>
    <t xml:space="preserve">Comet Fists</t>
  </si>
  <si>
    <t xml:space="preserve">Weapon skill launches both gauntlets as guided projectiles that return.</t>
  </si>
  <si>
    <t xml:space="preserve">175</t>
  </si>
  <si>
    <t xml:space="preserve">W060</t>
  </si>
  <si>
    <t xml:space="preserve">Votive Orbs</t>
  </si>
  <si>
    <t xml:space="preserve">Orbs</t>
  </si>
  <si>
    <t xml:space="preserve">Two orbs circle you and hit anything they touch.</t>
  </si>
  <si>
    <t xml:space="preserve">W061</t>
  </si>
  <si>
    <t xml:space="preserve">Cyclone Orbs</t>
  </si>
  <si>
    <t xml:space="preserve">Orbiting winds pull nearby Minions inward.</t>
  </si>
  <si>
    <t xml:space="preserve">182</t>
  </si>
  <si>
    <t xml:space="preserve">W062</t>
  </si>
  <si>
    <t xml:space="preserve">Mandala Wheel</t>
  </si>
  <si>
    <t xml:space="preserve">Hold the weapon skill to lock the discs into a wall that blocks projectiles from the front.</t>
  </si>
  <si>
    <t xml:space="preserve">29</t>
  </si>
  <si>
    <t xml:space="preserve">W063</t>
  </si>
  <si>
    <t xml:space="preserve">Hardlight Orbs</t>
  </si>
  <si>
    <t xml:space="preserve">Weapon skill shapes the orbs into a random construct: a wall, a hammer slam or a cage.</t>
  </si>
  <si>
    <t xml:space="preserve">71, 72</t>
  </si>
  <si>
    <t xml:space="preserve">W064</t>
  </si>
  <si>
    <t xml:space="preserve">Spore Mortar</t>
  </si>
  <si>
    <t xml:space="preserve">Bio-launcher</t>
  </si>
  <si>
    <t xml:space="preserve">Lobs spore pods that leave poison clouds for 3 s.</t>
  </si>
  <si>
    <t xml:space="preserve">W065</t>
  </si>
  <si>
    <t xml:space="preserve">Hive Spitter</t>
  </si>
  <si>
    <t xml:space="preserve">Spits larvae that hatch into biters for 5 s.</t>
  </si>
  <si>
    <t xml:space="preserve">Drop: Act 4</t>
  </si>
  <si>
    <t xml:space="preserve">W066</t>
  </si>
  <si>
    <t xml:space="preserve">Acid Gland</t>
  </si>
  <si>
    <t xml:space="preserve">An arcing acid stream; each hit melts 2 armour.</t>
  </si>
  <si>
    <t xml:space="preserve">W067</t>
  </si>
  <si>
    <t xml:space="preserve">Broodcaller</t>
  </si>
  <si>
    <t xml:space="preserve">Spawns a swarm that follows your aim and splits to chase fleeing enemies.</t>
  </si>
  <si>
    <t xml:space="preserve">Boss: Hive Mother (signature drop)</t>
  </si>
  <si>
    <t xml:space="preserve">W068</t>
  </si>
  <si>
    <t xml:space="preserve">Blast Tube</t>
  </si>
  <si>
    <t xml:space="preserve">Launcher</t>
  </si>
  <si>
    <t xml:space="preserve">A single explosive shell with a wide blast.</t>
  </si>
  <si>
    <t xml:space="preserve">W069</t>
  </si>
  <si>
    <t xml:space="preserve">Toaster Mortar</t>
  </si>
  <si>
    <t xml:space="preserve">Lobs explosive toast; 10% of shots leave a crumb that heals 2% HP.</t>
  </si>
  <si>
    <t xml:space="preserve">W070</t>
  </si>
  <si>
    <t xml:space="preserve">Trickshot Lobber</t>
  </si>
  <si>
    <t xml:space="preserve">Each reload cycles the next shot: shock net, splitter or sticky bomb.</t>
  </si>
  <si>
    <t xml:space="preserve">25</t>
  </si>
  <si>
    <t xml:space="preserve">W071</t>
  </si>
  <si>
    <t xml:space="preserve">Swarm Pod</t>
  </si>
  <si>
    <t xml:space="preserve">Fires 6 mini-missiles that lock onto up to 6 different targets.</t>
  </si>
  <si>
    <t xml:space="preserve">5, 113</t>
  </si>
  <si>
    <t xml:space="preserve">W072</t>
  </si>
  <si>
    <t xml:space="preserve">Exile Projector</t>
  </si>
  <si>
    <t xml:space="preserve">Shots open a rift that banishes Minions and Veterans for 6 s; banished enemies drop their loot early.</t>
  </si>
  <si>
    <t xml:space="preserve">65</t>
  </si>
  <si>
    <t xml:space="preserve">W073</t>
  </si>
  <si>
    <t xml:space="preserve">Hunter's Boomerang</t>
  </si>
  <si>
    <t xml:space="preserve">Chakram</t>
  </si>
  <si>
    <t xml:space="preserve">Returns to you; hitting a caster interrupts its spell.</t>
  </si>
  <si>
    <t xml:space="preserve">139</t>
  </si>
  <si>
    <t xml:space="preserve">W074</t>
  </si>
  <si>
    <t xml:space="preserve">Frost Discs</t>
  </si>
  <si>
    <t xml:space="preserve">Discs shatter into frost on impact, slowing enemies by 30%.</t>
  </si>
  <si>
    <t xml:space="preserve">167</t>
  </si>
  <si>
    <t xml:space="preserve">W075</t>
  </si>
  <si>
    <t xml:space="preserve">Gloomfang Blades</t>
  </si>
  <si>
    <t xml:space="preserve">Throws 3 folding blades; each rolls an extra effect: explode, shock or freeze.</t>
  </si>
  <si>
    <t xml:space="preserve">49</t>
  </si>
  <si>
    <t xml:space="preserve">W076</t>
  </si>
  <si>
    <t xml:space="preserve">Sunring Disc</t>
  </si>
  <si>
    <t xml:space="preserve">Curves back on a different path and deals double damage on the return trip.</t>
  </si>
  <si>
    <t xml:space="preserve">70</t>
  </si>
  <si>
    <t xml:space="preserve">W077</t>
  </si>
  <si>
    <t xml:space="preserve">Gyre Bands</t>
  </si>
  <si>
    <t xml:space="preserve">Throws up to 3 spinning bands; recalling them drags enemies toward you.</t>
  </si>
  <si>
    <t xml:space="preserve">44</t>
  </si>
  <si>
    <t xml:space="preserve">W078</t>
  </si>
  <si>
    <t xml:space="preserve">Hunter's Disc</t>
  </si>
  <si>
    <t xml:space="preserve">25% chance to execute non-boss enemies below 20% HP, then returns.</t>
  </si>
  <si>
    <t xml:space="preserve">W079</t>
  </si>
  <si>
    <t xml:space="preserve">Bulwark Disc</t>
  </si>
  <si>
    <t xml:space="preserve">Ricochets between up to 4 enemies; while you hold it, your parry window is 50% wider.</t>
  </si>
  <si>
    <t xml:space="preserve">15</t>
  </si>
  <si>
    <t xml:space="preserve">W080</t>
  </si>
  <si>
    <t xml:space="preserve">Plasma Edge</t>
  </si>
  <si>
    <t xml:space="preserve">Parrying a projectile with it reflects the shot; pick its element at the forge.</t>
  </si>
  <si>
    <t xml:space="preserve">110</t>
  </si>
  <si>
    <t xml:space="preserve">W081</t>
  </si>
  <si>
    <t xml:space="preserve">Meteor Jian</t>
  </si>
  <si>
    <t xml:space="preserve">Crits cut through every enemy in a line.</t>
  </si>
  <si>
    <t xml:space="preserve">Forge: craft from Starfall Ore</t>
  </si>
  <si>
    <t xml:space="preserve">138</t>
  </si>
  <si>
    <t xml:space="preserve">W082</t>
  </si>
  <si>
    <t xml:space="preserve">Virtue Katana</t>
  </si>
  <si>
    <t xml:space="preserve">Ignores shields; +50% damage to Demons and Abyss creatures.</t>
  </si>
  <si>
    <t xml:space="preserve">156</t>
  </si>
  <si>
    <t xml:space="preserve">W083</t>
  </si>
  <si>
    <t xml:space="preserve">Soulsong Blade</t>
  </si>
  <si>
    <t xml:space="preserve">Evolves with use: a new skill at 300 kills and a new form at 1,000 kills.</t>
  </si>
  <si>
    <t xml:space="preserve">128</t>
  </si>
  <si>
    <t xml:space="preserve">W084</t>
  </si>
  <si>
    <t xml:space="preserve">Mirrorgem Sword</t>
  </si>
  <si>
    <t xml:space="preserve">Every 10 s, a ghost copy of you repeats your last 3 attacks.</t>
  </si>
  <si>
    <t xml:space="preserve">162</t>
  </si>
  <si>
    <t xml:space="preserve">W085</t>
  </si>
  <si>
    <t xml:space="preserve">Umbra Edge</t>
  </si>
  <si>
    <t xml:space="preserve">Swings faster during combo streaks and slower right after you take damage.</t>
  </si>
  <si>
    <t xml:space="preserve">111</t>
  </si>
  <si>
    <t xml:space="preserve">W086</t>
  </si>
  <si>
    <t xml:space="preserve">Ascendant Blade</t>
  </si>
  <si>
    <t xml:space="preserve">Replaces your ultimate with a transformation: +40% to all stats for 12 s.</t>
  </si>
  <si>
    <t xml:space="preserve">178</t>
  </si>
  <si>
    <t xml:space="preserve">W087</t>
  </si>
  <si>
    <t xml:space="preserve">Sovereign Blade</t>
  </si>
  <si>
    <t xml:space="preserve">+100% damage against shields; pairs with the Bloodless Scabbard.</t>
  </si>
  <si>
    <t xml:space="preserve">Arc finale: Act 3</t>
  </si>
  <si>
    <t xml:space="preserve">Sovereign</t>
  </si>
  <si>
    <t xml:space="preserve">107</t>
  </si>
  <si>
    <t xml:space="preserve">W088</t>
  </si>
  <si>
    <t xml:space="preserve">Skyforge Maul</t>
  </si>
  <si>
    <t xml:space="preserve">Throw it with the weapon skill; it returns through enemies, and catching it charges your next swing with lightning.</t>
  </si>
  <si>
    <t xml:space="preserve">9</t>
  </si>
  <si>
    <t xml:space="preserve">W089</t>
  </si>
  <si>
    <t xml:space="preserve">Fourforce Greatblade</t>
  </si>
  <si>
    <t xml:space="preserve">Rotates through all four</t>
  </si>
  <si>
    <t xml:space="preserve">Its element rotates every 8 s; hits on a weakness deal +50%.</t>
  </si>
  <si>
    <t xml:space="preserve">Arc finale: Act 4</t>
  </si>
  <si>
    <t xml:space="preserve">Fourforce</t>
  </si>
  <si>
    <t xml:space="preserve">131</t>
  </si>
  <si>
    <t xml:space="preserve">W090</t>
  </si>
  <si>
    <t xml:space="preserve">Dawnpiercer Spear</t>
  </si>
  <si>
    <t xml:space="preserve">The first thrust homes in on its target; hold the weapon skill to fire a radiant beam.</t>
  </si>
  <si>
    <t xml:space="preserve">Boss: Fallen Seraph (signature drop)</t>
  </si>
  <si>
    <t xml:space="preserve">45</t>
  </si>
  <si>
    <t xml:space="preserve">W091</t>
  </si>
  <si>
    <t xml:space="preserve">Atomsplit Glaive</t>
  </si>
  <si>
    <t xml:space="preserve">Critical hits ignore all defence and shields.</t>
  </si>
  <si>
    <t xml:space="preserve">68</t>
  </si>
  <si>
    <t xml:space="preserve">W092</t>
  </si>
  <si>
    <t xml:space="preserve">Banestone Pike</t>
  </si>
  <si>
    <t xml:space="preserve">Each hit lowers the target's resistances by 5% (stacks 6); boss shields break 30% faster.</t>
  </si>
  <si>
    <t xml:space="preserve">55</t>
  </si>
  <si>
    <t xml:space="preserve">W093</t>
  </si>
  <si>
    <t xml:space="preserve">Rallying Standard</t>
  </si>
  <si>
    <t xml:space="preserve">Once per room, plant it to raise a banner: +15% damage and 1% HP regen per second for 8 s.</t>
  </si>
  <si>
    <t xml:space="preserve">Quest: The Broken Banner (Act 3)</t>
  </si>
  <si>
    <t xml:space="preserve">87</t>
  </si>
  <si>
    <t xml:space="preserve">W094</t>
  </si>
  <si>
    <t xml:space="preserve">Farsight Staff</t>
  </si>
  <si>
    <t xml:space="preserve">Weapon skill reveals hidden enemies and boss weak points for 5 s.</t>
  </si>
  <si>
    <t xml:space="preserve">180</t>
  </si>
  <si>
    <t xml:space="preserve">W095</t>
  </si>
  <si>
    <t xml:space="preserve">Mirrorheart Wand</t>
  </si>
  <si>
    <t xml:space="preserve">Matches your race</t>
  </si>
  <si>
    <t xml:space="preserve">Changes with its wielder: rapid bolts (Human), fire bolts (Demon), healing orbs (God), void needles (Alien).</t>
  </si>
  <si>
    <t xml:space="preserve">Quest: The Four Mirrors (Act 3)</t>
  </si>
  <si>
    <t xml:space="preserve">177</t>
  </si>
  <si>
    <t xml:space="preserve">W096</t>
  </si>
  <si>
    <t xml:space="preserve">Solar Gaze</t>
  </si>
  <si>
    <t xml:space="preserve">Twin beams that burn; hold the weapon skill to narrow them for +60% crit chance.</t>
  </si>
  <si>
    <t xml:space="preserve">59</t>
  </si>
  <si>
    <t xml:space="preserve">W097</t>
  </si>
  <si>
    <t xml:space="preserve">Pip Cannon</t>
  </si>
  <si>
    <t xml:space="preserve">Tiny pistol, huge blast: each shot deals 3x damage and knocks you back 3 m.</t>
  </si>
  <si>
    <t xml:space="preserve">126</t>
  </si>
  <si>
    <t xml:space="preserve">W098</t>
  </si>
  <si>
    <t xml:space="preserve">Gatewright Pistol</t>
  </si>
  <si>
    <t xml:space="preserve">Alternate shots place an entry and an exit rift; shots fired into the entry come out of the exit.</t>
  </si>
  <si>
    <t xml:space="preserve">145</t>
  </si>
  <si>
    <t xml:space="preserve">W099</t>
  </si>
  <si>
    <t xml:space="preserve">Unmaker Scythe</t>
  </si>
  <si>
    <t xml:space="preserve">Hits strip enemy buffs and shields; kills reset your ability cooldowns.</t>
  </si>
  <si>
    <t xml:space="preserve">176</t>
  </si>
  <si>
    <t xml:space="preserve">W100</t>
  </si>
  <si>
    <t xml:space="preserve">Shoulder Cannon</t>
  </si>
  <si>
    <t xml:space="preserve">A shoulder turret that fires a plasma bolt at whatever you aim at every 1.5 s.</t>
  </si>
  <si>
    <t xml:space="preserve">123</t>
  </si>
  <si>
    <t xml:space="preserve">W101</t>
  </si>
  <si>
    <t xml:space="preserve">Starsplit Axe</t>
  </si>
  <si>
    <t xml:space="preserve">Hold the weapon skill to raise it as a guard that absorbs projectiles, then release them as one blast.</t>
  </si>
  <si>
    <t xml:space="preserve">Rift Lord event</t>
  </si>
  <si>
    <t xml:space="preserve">11</t>
  </si>
  <si>
    <t xml:space="preserve">Defence</t>
  </si>
  <si>
    <t xml:space="preserve">Bonus HP</t>
  </si>
  <si>
    <t xml:space="preserve">Effect</t>
  </si>
  <si>
    <t xml:space="preserve">A01</t>
  </si>
  <si>
    <t xml:space="preserve">Padded Jerkin</t>
  </si>
  <si>
    <t xml:space="preserve">Cheap, light starter armour.</t>
  </si>
  <si>
    <t xml:space="preserve">Starter; store</t>
  </si>
  <si>
    <t xml:space="preserve">A02</t>
  </si>
  <si>
    <t xml:space="preserve">Chain Hauberk</t>
  </si>
  <si>
    <t xml:space="preserve">Blocks 10% of melee damage.</t>
  </si>
  <si>
    <t xml:space="preserve">A03</t>
  </si>
  <si>
    <t xml:space="preserve">Riftguard Vest</t>
  </si>
  <si>
    <t xml:space="preserve">After you touch a Rift Shrine, take 20% less damage for 30 s.</t>
  </si>
  <si>
    <t xml:space="preserve">A04</t>
  </si>
  <si>
    <t xml:space="preserve">Moonsilver Mail</t>
  </si>
  <si>
    <t xml:space="preserve">+10% move speed; the perfect-dodge window lasts 0.05 s longer.</t>
  </si>
  <si>
    <t xml:space="preserve">90</t>
  </si>
  <si>
    <t xml:space="preserve">A05</t>
  </si>
  <si>
    <t xml:space="preserve">Kinetic Weave</t>
  </si>
  <si>
    <t xml:space="preserve">Stores 30% of damage taken; your next melee hit releases it as a pulse (up to 60).</t>
  </si>
  <si>
    <t xml:space="preserve">32</t>
  </si>
  <si>
    <t xml:space="preserve">A06</t>
  </si>
  <si>
    <t xml:space="preserve">Siegeframe Plate</t>
  </si>
  <si>
    <t xml:space="preserve">+40% HP and -15% move speed; your melee hits stagger Brutes.</t>
  </si>
  <si>
    <t xml:space="preserve">8</t>
  </si>
  <si>
    <t xml:space="preserve">A07</t>
  </si>
  <si>
    <t xml:space="preserve">Projectile Ward Harness</t>
  </si>
  <si>
    <t xml:space="preserve">-50% damage from projectiles, +20% damage taken from melee.</t>
  </si>
  <si>
    <t xml:space="preserve">120</t>
  </si>
  <si>
    <t xml:space="preserve">A08</t>
  </si>
  <si>
    <t xml:space="preserve">Lifeburn Exoframe</t>
  </si>
  <si>
    <t xml:space="preserve">Doubles damage and resource gain, but drains 1% HP per second in combat.</t>
  </si>
  <si>
    <t xml:space="preserve">154</t>
  </si>
  <si>
    <t xml:space="preserve">A09</t>
  </si>
  <si>
    <t xml:space="preserve">Living Mantle</t>
  </si>
  <si>
    <t xml:space="preserve">A living cloak: blocks one projectile every 5 s and stuns an attacker for 1 s when you're hit.</t>
  </si>
  <si>
    <t xml:space="preserve">27</t>
  </si>
  <si>
    <t xml:space="preserve">A10</t>
  </si>
  <si>
    <t xml:space="preserve">Mirrorplate</t>
  </si>
  <si>
    <t xml:space="preserve">Every 6th projectile that hits you is reflected at full damage.</t>
  </si>
  <si>
    <t xml:space="preserve">69</t>
  </si>
  <si>
    <t xml:space="preserve">A11</t>
  </si>
  <si>
    <t xml:space="preserve">Starsteel Plate</t>
  </si>
  <si>
    <t xml:space="preserve">-30% damage from projectiles and beams; immune to burning.</t>
  </si>
  <si>
    <t xml:space="preserve">112</t>
  </si>
  <si>
    <t xml:space="preserve">A12</t>
  </si>
  <si>
    <t xml:space="preserve">Starborn Weave</t>
  </si>
  <si>
    <t xml:space="preserve">Regenerates 1% HP per second while your resource bar is above half.</t>
  </si>
  <si>
    <t xml:space="preserve">58</t>
  </si>
  <si>
    <t xml:space="preserve">A13</t>
  </si>
  <si>
    <t xml:space="preserve">Nightveil Cloak</t>
  </si>
  <si>
    <t xml:space="preserve">Stand still for 1 s to turn invisible; your first hit from invisibility always crits.</t>
  </si>
  <si>
    <t xml:space="preserve">96</t>
  </si>
  <si>
    <t xml:space="preserve">A14</t>
  </si>
  <si>
    <t xml:space="preserve">Quicksilver Plate</t>
  </si>
  <si>
    <t xml:space="preserve">Liquid-metal armour that blocks the first hit every 8 s, then reforms.</t>
  </si>
  <si>
    <t xml:space="preserve">2</t>
  </si>
  <si>
    <t xml:space="preserve">A15</t>
  </si>
  <si>
    <t xml:space="preserve">Living Carapace</t>
  </si>
  <si>
    <t xml:space="preserve">+20% damage to whichever of melee, shooting or dashing you used most in the last 10 s.</t>
  </si>
  <si>
    <t xml:space="preserve">82</t>
  </si>
  <si>
    <t xml:space="preserve">A16</t>
  </si>
  <si>
    <t xml:space="preserve">Overdrive Exosuit</t>
  </si>
  <si>
    <t xml:space="preserve">+50% damage and +30% HP, but drains 2 resource per second in combat; at zero you move 50% slower for 5 s.</t>
  </si>
  <si>
    <t xml:space="preserve">57</t>
  </si>
  <si>
    <t xml:space="preserve">A17</t>
  </si>
  <si>
    <t xml:space="preserve">Seer's Regalia</t>
  </si>
  <si>
    <t xml:space="preserve">+40% Arcane and you float over ground hazards, but you can't use consumables while wearing it.</t>
  </si>
  <si>
    <t xml:space="preserve">81</t>
  </si>
  <si>
    <t xml:space="preserve">R01</t>
  </si>
  <si>
    <t xml:space="preserve">Warden's Badge</t>
  </si>
  <si>
    <t xml:space="preserve">+10% XP and coin find; your coin Echo shows on the minimap.</t>
  </si>
  <si>
    <t xml:space="preserve">133</t>
  </si>
  <si>
    <t xml:space="preserve">R02</t>
  </si>
  <si>
    <t xml:space="preserve">Field Belt</t>
  </si>
  <si>
    <t xml:space="preserve">+1 consumable slot; one consumable charge refills each mission.</t>
  </si>
  <si>
    <t xml:space="preserve">52</t>
  </si>
  <si>
    <t xml:space="preserve">R03</t>
  </si>
  <si>
    <t xml:space="preserve">Shrine Lantern</t>
  </si>
  <si>
    <t xml:space="preserve">Each Rift Shrine you touch stores a charge (max 3); spend one to refill your resource bar.</t>
  </si>
  <si>
    <t xml:space="preserve">73</t>
  </si>
  <si>
    <t xml:space="preserve">R04</t>
  </si>
  <si>
    <t xml:space="preserve">Hazard Ward</t>
  </si>
  <si>
    <t xml:space="preserve">-50% damage from environmental hazards and ground zones.</t>
  </si>
  <si>
    <t xml:space="preserve">74</t>
  </si>
  <si>
    <t xml:space="preserve">R05</t>
  </si>
  <si>
    <t xml:space="preserve">Clingstep Soles</t>
  </si>
  <si>
    <t xml:space="preserve">Immune to knockback and ice; dashing off a wall gives a free second dash.</t>
  </si>
  <si>
    <t xml:space="preserve">24</t>
  </si>
  <si>
    <t xml:space="preserve">R06</t>
  </si>
  <si>
    <t xml:space="preserve">Medic Beads</t>
  </si>
  <si>
    <t xml:space="preserve">Potions heal 30% more and cleanse burn and poison.</t>
  </si>
  <si>
    <t xml:space="preserve">34</t>
  </si>
  <si>
    <t xml:space="preserve">R07</t>
  </si>
  <si>
    <t xml:space="preserve">Quickload Bandolier</t>
  </si>
  <si>
    <t xml:space="preserve">Active-reload sweet spot is 50% wider; reloads are 30% faster.</t>
  </si>
  <si>
    <t xml:space="preserve">21</t>
  </si>
  <si>
    <t xml:space="preserve">R08</t>
  </si>
  <si>
    <t xml:space="preserve">Analyst Lens</t>
  </si>
  <si>
    <t xml:space="preserve">Shows enemy HP numbers and weak elements; +10% crit on a target after aiming at it for 2 s.</t>
  </si>
  <si>
    <t xml:space="preserve">7</t>
  </si>
  <si>
    <t xml:space="preserve">R09</t>
  </si>
  <si>
    <t xml:space="preserve">Dread Sense</t>
  </si>
  <si>
    <t xml:space="preserve">Enemy telegraphs appear 0.2 s earlier.</t>
  </si>
  <si>
    <t xml:space="preserve">23</t>
  </si>
  <si>
    <t xml:space="preserve">R10</t>
  </si>
  <si>
    <t xml:space="preserve">Lodestone Bracer</t>
  </si>
  <si>
    <t xml:space="preserve">Thrown weapons return 40% faster and drag pickups along their path.</t>
  </si>
  <si>
    <t xml:space="preserve">16</t>
  </si>
  <si>
    <t xml:space="preserve">R11</t>
  </si>
  <si>
    <t xml:space="preserve">Tracker Lens</t>
  </si>
  <si>
    <t xml:space="preserve">Shows enemies through walls and hidden caches within 20 m.</t>
  </si>
  <si>
    <t xml:space="preserve">54</t>
  </si>
  <si>
    <t xml:space="preserve">R12</t>
  </si>
  <si>
    <t xml:space="preserve">Hookline Launcher</t>
  </si>
  <si>
    <t xml:space="preserve">Dash at a target to grapple to it; small enemies are pulled to you instead.</t>
  </si>
  <si>
    <t xml:space="preserve">50, 143</t>
  </si>
  <si>
    <t xml:space="preserve">R13</t>
  </si>
  <si>
    <t xml:space="preserve">Quickchange Ring</t>
  </si>
  <si>
    <t xml:space="preserve">Swap to your second saved loadout instantly, once per room.</t>
  </si>
  <si>
    <t xml:space="preserve">76</t>
  </si>
  <si>
    <t xml:space="preserve">R14</t>
  </si>
  <si>
    <t xml:space="preserve">Echo Stone</t>
  </si>
  <si>
    <t xml:space="preserve">When you reclaim your coin Echo, an echo of you fights beside you for 10 s.</t>
  </si>
  <si>
    <t xml:space="preserve">97</t>
  </si>
  <si>
    <t xml:space="preserve">R15</t>
  </si>
  <si>
    <t xml:space="preserve">Ghost Phase</t>
  </si>
  <si>
    <t xml:space="preserve">Perfect dodges make you invisible for 2 s.</t>
  </si>
  <si>
    <t xml:space="preserve">153</t>
  </si>
  <si>
    <t xml:space="preserve">R16</t>
  </si>
  <si>
    <t xml:space="preserve">Gale Eye</t>
  </si>
  <si>
    <t xml:space="preserve">Your dash releases a wind burst that knocks enemies back.</t>
  </si>
  <si>
    <t xml:space="preserve">R17</t>
  </si>
  <si>
    <t xml:space="preserve">Gambler's Charm</t>
  </si>
  <si>
    <t xml:space="preserve">+20 Luck; crits have a 10% chance to drop coins.</t>
  </si>
  <si>
    <t xml:space="preserve">134</t>
  </si>
  <si>
    <t xml:space="preserve">R18</t>
  </si>
  <si>
    <t xml:space="preserve">Heartforge Core</t>
  </si>
  <si>
    <t xml:space="preserve">+20% resource regen; energy weapons can't overheat for 3 s after a perfect dodge.</t>
  </si>
  <si>
    <t xml:space="preserve">1</t>
  </si>
  <si>
    <t xml:space="preserve">R19</t>
  </si>
  <si>
    <t xml:space="preserve">Giant's Cinch</t>
  </si>
  <si>
    <t xml:space="preserve">+20% Attack; heavy attacks charge 25% faster.</t>
  </si>
  <si>
    <t xml:space="preserve">14</t>
  </si>
  <si>
    <t xml:space="preserve">R20</t>
  </si>
  <si>
    <t xml:space="preserve">Marionette Vein</t>
  </si>
  <si>
    <t xml:space="preserve">Hitting a bleeding enemy yanks it 2 m toward you; 5 bleed stacks stun it for 1 s.</t>
  </si>
  <si>
    <t xml:space="preserve">142</t>
  </si>
  <si>
    <t xml:space="preserve">R21</t>
  </si>
  <si>
    <t xml:space="preserve">Dominion Band</t>
  </si>
  <si>
    <t xml:space="preserve">Turn invisible for 4 s after each kill; while worn, a Rift Stalker hunts you every 3 minutes.</t>
  </si>
  <si>
    <t xml:space="preserve">83</t>
  </si>
  <si>
    <t xml:space="preserve">R22</t>
  </si>
  <si>
    <t xml:space="preserve">Deepsight Lens</t>
  </si>
  <si>
    <t xml:space="preserve">Boss weak points glow 0.5 s before they open and stay open 0.5 s longer.</t>
  </si>
  <si>
    <t xml:space="preserve">63</t>
  </si>
  <si>
    <t xml:space="preserve">R23</t>
  </si>
  <si>
    <t xml:space="preserve">Judgment Seal</t>
  </si>
  <si>
    <t xml:space="preserve">Enemies that hit you are marked; your next hit on a marked enemy deals +40%.</t>
  </si>
  <si>
    <t xml:space="preserve">10</t>
  </si>
  <si>
    <t xml:space="preserve">R24</t>
  </si>
  <si>
    <t xml:space="preserve">Farseer Orb</t>
  </si>
  <si>
    <t xml:space="preserve">Preview the next room's enemies before you open its door.</t>
  </si>
  <si>
    <t xml:space="preserve">92</t>
  </si>
  <si>
    <t xml:space="preserve">R25</t>
  </si>
  <si>
    <t xml:space="preserve">Ring of Kindling</t>
  </si>
  <si>
    <t xml:space="preserve">+20% resource regen. Wearing any 2 Triune rings adds +10% to all stats.</t>
  </si>
  <si>
    <t xml:space="preserve">Triune Rings</t>
  </si>
  <si>
    <t xml:space="preserve">84</t>
  </si>
  <si>
    <t xml:space="preserve">R26</t>
  </si>
  <si>
    <t xml:space="preserve">Ring of Stillwater</t>
  </si>
  <si>
    <t xml:space="preserve">Buffs and consumables last 30% longer. Triune set.</t>
  </si>
  <si>
    <t xml:space="preserve">85</t>
  </si>
  <si>
    <t xml:space="preserve">R27</t>
  </si>
  <si>
    <t xml:space="preserve">Ring of Highwind</t>
  </si>
  <si>
    <t xml:space="preserve">Heal 1% HP per second out of combat and 0.3% in combat. Triune set.</t>
  </si>
  <si>
    <t xml:space="preserve">86</t>
  </si>
  <si>
    <t xml:space="preserve">R28</t>
  </si>
  <si>
    <t xml:space="preserve">Kestrel Wings</t>
  </si>
  <si>
    <t xml:space="preserve">Dash distance +60%; dashing over gaps and ground hazards is safe.</t>
  </si>
  <si>
    <t xml:space="preserve">18, 51</t>
  </si>
  <si>
    <t xml:space="preserve">R29</t>
  </si>
  <si>
    <t xml:space="preserve">Stormcaller Torc</t>
  </si>
  <si>
    <t xml:space="preserve">Every 5th hit calls down a radiant lightning bolt on the target.</t>
  </si>
  <si>
    <t xml:space="preserve">13</t>
  </si>
  <si>
    <t xml:space="preserve">R30</t>
  </si>
  <si>
    <t xml:space="preserve">Twinring</t>
  </si>
  <si>
    <t xml:space="preserve">Your dash leaves a rift; dash again within 5 s to return to it.</t>
  </si>
  <si>
    <t xml:space="preserve">28</t>
  </si>
  <si>
    <t xml:space="preserve">R31</t>
  </si>
  <si>
    <t xml:space="preserve">Dawnlight Vial</t>
  </si>
  <si>
    <t xml:space="preserve">Raise it with Interact to blind and repel nearby enemies for 3 s (30 s cooldown).</t>
  </si>
  <si>
    <t xml:space="preserve">91</t>
  </si>
  <si>
    <t xml:space="preserve">R32</t>
  </si>
  <si>
    <t xml:space="preserve">Throat of Command</t>
  </si>
  <si>
    <t xml:space="preserve">Your parries also stun Minions and Veterans within 4 m for 1 s.</t>
  </si>
  <si>
    <t xml:space="preserve">122</t>
  </si>
  <si>
    <t xml:space="preserve">R33</t>
  </si>
  <si>
    <t xml:space="preserve">Astral Double</t>
  </si>
  <si>
    <t xml:space="preserve">Once per room, project a shadow double that taunts enemies for 4 s.</t>
  </si>
  <si>
    <t xml:space="preserve">169</t>
  </si>
  <si>
    <t xml:space="preserve">R34</t>
  </si>
  <si>
    <t xml:space="preserve">Velocity Aura</t>
  </si>
  <si>
    <t xml:space="preserve">+15% move speed; after 2 s at full speed, your dash damages everything it passes.</t>
  </si>
  <si>
    <t xml:space="preserve">77</t>
  </si>
  <si>
    <t xml:space="preserve">R35</t>
  </si>
  <si>
    <t xml:space="preserve">Stiltlimb Rig</t>
  </si>
  <si>
    <t xml:space="preserve">A mechanical limb strikes any enemy within melee range, once per second.</t>
  </si>
  <si>
    <t xml:space="preserve">22</t>
  </si>
  <si>
    <t xml:space="preserve">R36</t>
  </si>
  <si>
    <t xml:space="preserve">Kinetic Aura</t>
  </si>
  <si>
    <t xml:space="preserve">Pick up stunned enemies with Interact and throw them for heavy damage.</t>
  </si>
  <si>
    <t xml:space="preserve">62, 118</t>
  </si>
  <si>
    <t xml:space="preserve">R37</t>
  </si>
  <si>
    <t xml:space="preserve">Wayfinder Cube</t>
  </si>
  <si>
    <t xml:space="preserve">Heals are 25% stronger; fast-travel between discovered shrines in the act.</t>
  </si>
  <si>
    <t xml:space="preserve">79</t>
  </si>
  <si>
    <t xml:space="preserve">R38</t>
  </si>
  <si>
    <t xml:space="preserve">Echoing Charm</t>
  </si>
  <si>
    <t xml:space="preserve">Abilities have a 15% chance to cast twice.</t>
  </si>
  <si>
    <t xml:space="preserve">R39</t>
  </si>
  <si>
    <t xml:space="preserve">Implant Kit</t>
  </si>
  <si>
    <t xml:space="preserve">Your dash fires 4 darts, and you can't be slowed.</t>
  </si>
  <si>
    <t xml:space="preserve">147</t>
  </si>
  <si>
    <t xml:space="preserve">R40</t>
  </si>
  <si>
    <t xml:space="preserve">Deflector Vambraces</t>
  </si>
  <si>
    <t xml:space="preserve">Parried projectiles and beams are reflected; two parries within 1 s call down lightning.</t>
  </si>
  <si>
    <t xml:space="preserve">67, 141</t>
  </si>
  <si>
    <t xml:space="preserve">R41</t>
  </si>
  <si>
    <t xml:space="preserve">Gorgon Mirror</t>
  </si>
  <si>
    <t xml:space="preserve">Raise it to petrify Minions in a cone for 2 s; petrified enemies shatter for +50% damage.</t>
  </si>
  <si>
    <t xml:space="preserve">109</t>
  </si>
  <si>
    <t xml:space="preserve">R42</t>
  </si>
  <si>
    <t xml:space="preserve">Ancestor's Wrath</t>
  </si>
  <si>
    <t xml:space="preserve">Below 25% HP your ultimate meter fills 3x faster, and your ultimate heals 30%.</t>
  </si>
  <si>
    <t xml:space="preserve">136</t>
  </si>
  <si>
    <t xml:space="preserve">R43</t>
  </si>
  <si>
    <t xml:space="preserve">Rimecrown</t>
  </si>
  <si>
    <t xml:space="preserve">All hits chill (15% slow); every 60 s a blizzard pulse freezes nearby enemies for 1 s.</t>
  </si>
  <si>
    <t xml:space="preserve">163</t>
  </si>
  <si>
    <t xml:space="preserve">R44</t>
  </si>
  <si>
    <t xml:space="preserve">Nova Heart</t>
  </si>
  <si>
    <t xml:space="preserve">With a full ultimate meter, detonate it for a screen-wide blast; your stats drop 30% for 20 s afterwards.</t>
  </si>
  <si>
    <t xml:space="preserve">61</t>
  </si>
  <si>
    <t xml:space="preserve">R45</t>
  </si>
  <si>
    <t xml:space="preserve">Haven Bubble</t>
  </si>
  <si>
    <t xml:space="preserve">Hold Parry for 1 s to raise a bubble that blocks all damage for 2 s (30 s cooldown).</t>
  </si>
  <si>
    <t xml:space="preserve">174</t>
  </si>
  <si>
    <t xml:space="preserve">R46</t>
  </si>
  <si>
    <t xml:space="preserve">Bloodless Scabbard</t>
  </si>
  <si>
    <t xml:space="preserve">Immune to damage over time. With the Sovereign Blade: +25% damage.</t>
  </si>
  <si>
    <t xml:space="preserve">R47</t>
  </si>
  <si>
    <t xml:space="preserve">Skinthief Core</t>
  </si>
  <si>
    <t xml:space="preserve">Absorb the form of a Champion you defeat; once per room, become it for 10 s.</t>
  </si>
  <si>
    <t xml:space="preserve">127, 130</t>
  </si>
  <si>
    <t xml:space="preserve">R48</t>
  </si>
  <si>
    <t xml:space="preserve">Turnback Hourglass</t>
  </si>
  <si>
    <t xml:space="preserve">Once per room, rewind 3 s: you return to where you were, with the HP you had.</t>
  </si>
  <si>
    <t xml:space="preserve">26, 42, 99</t>
  </si>
  <si>
    <t xml:space="preserve">R49</t>
  </si>
  <si>
    <t xml:space="preserve">Hollow Core</t>
  </si>
  <si>
    <t xml:space="preserve">Holds up to four Realm Shards and grants all their powers at once.</t>
  </si>
  <si>
    <t xml:space="preserve">Story finale</t>
  </si>
  <si>
    <t xml:space="preserve">Realm Shards</t>
  </si>
  <si>
    <t xml:space="preserve">37, 129, 155</t>
  </si>
  <si>
    <t xml:space="preserve">R50</t>
  </si>
  <si>
    <t xml:space="preserve">Ironheart Shard</t>
  </si>
  <si>
    <t xml:space="preserve">Earth shard: +25% damage; every 10th hit releases a shockwave.</t>
  </si>
  <si>
    <t xml:space="preserve">Story: Realm Shard quest</t>
  </si>
  <si>
    <t xml:space="preserve">41</t>
  </si>
  <si>
    <t xml:space="preserve">R51</t>
  </si>
  <si>
    <t xml:space="preserve">Ember Shard</t>
  </si>
  <si>
    <t xml:space="preserve">Abyss shard: kills heal 2% HP; slain Elites rise as spirit allies for 15 s.</t>
  </si>
  <si>
    <t xml:space="preserve">43</t>
  </si>
  <si>
    <t xml:space="preserve">R52</t>
  </si>
  <si>
    <t xml:space="preserve">Dawn Shard</t>
  </si>
  <si>
    <t xml:space="preserve">Empyrean shard: an Elite you parry fights for you for 10 s.</t>
  </si>
  <si>
    <t xml:space="preserve">39</t>
  </si>
  <si>
    <t xml:space="preserve">R53</t>
  </si>
  <si>
    <t xml:space="preserve">Null Shard</t>
  </si>
  <si>
    <t xml:space="preserve">Void shard: your dash blinks through walls; once per room, every enemy projectile on screen turns into coins.</t>
  </si>
  <si>
    <t xml:space="preserve">38, 40</t>
  </si>
  <si>
    <t xml:space="preserve">Store price (coins)</t>
  </si>
  <si>
    <t xml:space="preserve">C01</t>
  </si>
  <si>
    <t xml:space="preserve">Minor Healing Draught</t>
  </si>
  <si>
    <t xml:space="preserve">Heals 30% HP over 2 s.</t>
  </si>
  <si>
    <t xml:space="preserve">C02</t>
  </si>
  <si>
    <t xml:space="preserve">Resource Tonic</t>
  </si>
  <si>
    <t xml:space="preserve">Refills 50% of your resource bar.</t>
  </si>
  <si>
    <t xml:space="preserve">C03</t>
  </si>
  <si>
    <t xml:space="preserve">Greater Healing Draught</t>
  </si>
  <si>
    <t xml:space="preserve">Heals 60% HP instantly.</t>
  </si>
  <si>
    <t xml:space="preserve">C04</t>
  </si>
  <si>
    <t xml:space="preserve">Bridge Sigil</t>
  </si>
  <si>
    <t xml:space="preserve">Return to the hub, then come back to the same shrine.</t>
  </si>
  <si>
    <t xml:space="preserve">12</t>
  </si>
  <si>
    <t xml:space="preserve">C05</t>
  </si>
  <si>
    <t xml:space="preserve">Moonroot Tonic</t>
  </si>
  <si>
    <t xml:space="preserve">For 60 s, hidden enemies show on the minimap and you move 15% faster.</t>
  </si>
  <si>
    <t xml:space="preserve">35</t>
  </si>
  <si>
    <t xml:space="preserve">C06</t>
  </si>
  <si>
    <t xml:space="preserve">Override Key</t>
  </si>
  <si>
    <t xml:space="preserve">Hacks an enemy turret or drone to fight for you for 15 s, or opens a locked vault.</t>
  </si>
  <si>
    <t xml:space="preserve">Drop: Acts 1-4</t>
  </si>
  <si>
    <t xml:space="preserve">53</t>
  </si>
  <si>
    <t xml:space="preserve">C07</t>
  </si>
  <si>
    <t xml:space="preserve">Seeker's Map</t>
  </si>
  <si>
    <t xml:space="preserve">For one mission, every enemy and every Mimic chest shows on the minimap.</t>
  </si>
  <si>
    <t xml:space="preserve">100</t>
  </si>
  <si>
    <t xml:space="preserve">C08</t>
  </si>
  <si>
    <t xml:space="preserve">Shadowcap Lantern</t>
  </si>
  <si>
    <t xml:space="preserve">Darkens the room for 3 s; ranged enemies can't target you.</t>
  </si>
  <si>
    <t xml:space="preserve">102</t>
  </si>
  <si>
    <t xml:space="preserve">C09</t>
  </si>
  <si>
    <t xml:space="preserve">Viper Needle</t>
  </si>
  <si>
    <t xml:space="preserve">Your next hit poisons for 10% of the target's max HP over 6 s.</t>
  </si>
  <si>
    <t xml:space="preserve">121</t>
  </si>
  <si>
    <t xml:space="preserve">C10</t>
  </si>
  <si>
    <t xml:space="preserve">Jury-Rigged Bomb</t>
  </si>
  <si>
    <t xml:space="preserve">A huge blast, but 1 in 5 fizzle.</t>
  </si>
  <si>
    <t xml:space="preserve">148</t>
  </si>
  <si>
    <t xml:space="preserve">C11</t>
  </si>
  <si>
    <t xml:space="preserve">Prime Serum</t>
  </si>
  <si>
    <t xml:space="preserve">For 30 s: +20% damage, +20% move speed and steady HP regen.</t>
  </si>
  <si>
    <t xml:space="preserve">17</t>
  </si>
  <si>
    <t xml:space="preserve">C12</t>
  </si>
  <si>
    <t xml:space="preserve">Chainward Talisman</t>
  </si>
  <si>
    <t xml:space="preserve">Binds the target in chains for 3 s (1 s on bosses).</t>
  </si>
  <si>
    <t xml:space="preserve">30</t>
  </si>
  <si>
    <t xml:space="preserve">C13</t>
  </si>
  <si>
    <t xml:space="preserve">Banegas Grenade</t>
  </si>
  <si>
    <t xml:space="preserve">Enemies in the cloud take 25% more damage from every element for 6 s.</t>
  </si>
  <si>
    <t xml:space="preserve">C14</t>
  </si>
  <si>
    <t xml:space="preserve">Seafire Flask</t>
  </si>
  <si>
    <t xml:space="preserve">Thrown flask; its fire burns for 6 s, spreads, and keeps burning on water.</t>
  </si>
  <si>
    <t xml:space="preserve">106</t>
  </si>
  <si>
    <t xml:space="preserve">C15</t>
  </si>
  <si>
    <t xml:space="preserve">Whisper Talisman</t>
  </si>
  <si>
    <t xml:space="preserve">Turns 3 nearby Minions or Veterans against their allies for 8 s.</t>
  </si>
  <si>
    <t xml:space="preserve">117</t>
  </si>
  <si>
    <t xml:space="preserve">C16</t>
  </si>
  <si>
    <t xml:space="preserve">Errand Cube</t>
  </si>
  <si>
    <t xml:space="preserve">Summons an imp that fights until it lands 10 hits, then vanishes.</t>
  </si>
  <si>
    <t xml:space="preserve">146</t>
  </si>
  <si>
    <t xml:space="preserve">C17</t>
  </si>
  <si>
    <t xml:space="preserve">Spirit Jar</t>
  </si>
  <si>
    <t xml:space="preserve">Instantly traps a spirit enemy below 25% HP; trapped Elites drop double loot.</t>
  </si>
  <si>
    <t xml:space="preserve">151</t>
  </si>
  <si>
    <t xml:space="preserve">C18</t>
  </si>
  <si>
    <t xml:space="preserve">Howl Vial</t>
  </si>
  <si>
    <t xml:space="preserve">A scream that stuns nearby enemies for 2 s and breaks their shields.</t>
  </si>
  <si>
    <t xml:space="preserve">152</t>
  </si>
  <si>
    <t xml:space="preserve">C19</t>
  </si>
  <si>
    <t xml:space="preserve">Mindflash</t>
  </si>
  <si>
    <t xml:space="preserve">A blinding flash stuns every enemy on screen for 1 s and resets their aggro.</t>
  </si>
  <si>
    <t xml:space="preserve">125, 172</t>
  </si>
  <si>
    <t xml:space="preserve">C20</t>
  </si>
  <si>
    <t xml:space="preserve">Sunseed Grenade</t>
  </si>
  <si>
    <t xml:space="preserve">An expanding sphere hits everything inside very hard, then stops cleanly at its edge.</t>
  </si>
  <si>
    <t xml:space="preserve">115</t>
  </si>
  <si>
    <t xml:space="preserve">C21</t>
  </si>
  <si>
    <t xml:space="preserve">Pocket Hole</t>
  </si>
  <si>
    <t xml:space="preserve">Throw it on the floor; Minions that walk in drop out of the fight.</t>
  </si>
  <si>
    <t xml:space="preserve">Type</t>
  </si>
  <si>
    <t xml:space="preserve">How it's used</t>
  </si>
  <si>
    <t xml:space="preserve">X01</t>
  </si>
  <si>
    <t xml:space="preserve">Rift Recall</t>
  </si>
  <si>
    <t xml:space="preserve">Lore for revives</t>
  </si>
  <si>
    <t xml:space="preserve">In-world reason for unlimited revives: shrines pull your essence back.</t>
  </si>
  <si>
    <t xml:space="preserve">150</t>
  </si>
  <si>
    <t xml:space="preserve">X02</t>
  </si>
  <si>
    <t xml:space="preserve">Obsidian Edge</t>
  </si>
  <si>
    <t xml:space="preserve">Forge material</t>
  </si>
  <si>
    <t xml:space="preserve">Weapons upgraded with it deal +25% to spirits and undead.</t>
  </si>
  <si>
    <t xml:space="preserve">105</t>
  </si>
  <si>
    <t xml:space="preserve">X03</t>
  </si>
  <si>
    <t xml:space="preserve">Phylactery</t>
  </si>
  <si>
    <t xml:space="preserve">Boss mechanic</t>
  </si>
  <si>
    <t xml:space="preserve">The Hollow King can't die until 3 soul jars in the arena are broken.</t>
  </si>
  <si>
    <t xml:space="preserve">103</t>
  </si>
  <si>
    <t xml:space="preserve">X04</t>
  </si>
  <si>
    <t xml:space="preserve">Shapeshifter boss</t>
  </si>
  <si>
    <t xml:space="preserve">Boss design</t>
  </si>
  <si>
    <t xml:space="preserve">The Hollow King switches beast forms and regenerates unless hit with Radiant.</t>
  </si>
  <si>
    <t xml:space="preserve">159</t>
  </si>
  <si>
    <t xml:space="preserve">X05</t>
  </si>
  <si>
    <t xml:space="preserve">Memory Pool</t>
  </si>
  <si>
    <t xml:space="preserve">Hub feature</t>
  </si>
  <si>
    <t xml:space="preserve">Rewatch your best runs and competition replays.</t>
  </si>
  <si>
    <t xml:space="preserve">101</t>
  </si>
  <si>
    <t xml:space="preserve">X06</t>
  </si>
  <si>
    <t xml:space="preserve">Starfall Ore</t>
  </si>
  <si>
    <t xml:space="preserve">Found in Act 4; the forge turns it into the Meteor Jian.</t>
  </si>
  <si>
    <t xml:space="preserve">X07</t>
  </si>
  <si>
    <t xml:space="preserve">Starcore Key</t>
  </si>
  <si>
    <t xml:space="preserve">Key item</t>
  </si>
  <si>
    <t xml:space="preserve">Unlocks the hub's Sanctum vault; only level 30+ characters can carry it.</t>
  </si>
  <si>
    <t xml:space="preserve">64</t>
  </si>
  <si>
    <t xml:space="preserve">X08</t>
  </si>
  <si>
    <t xml:space="preserve">Rewind Altar</t>
  </si>
  <si>
    <t xml:space="preserve">Rematch any defeated boss for its loot table.</t>
  </si>
  <si>
    <t xml:space="preserve">78</t>
  </si>
  <si>
    <t xml:space="preserve">X09</t>
  </si>
  <si>
    <t xml:space="preserve">Field Journals</t>
  </si>
  <si>
    <t xml:space="preserve">Codex system</t>
  </si>
  <si>
    <t xml:space="preserve">Three journals hidden in levels unlock the bestiary and lore codex.</t>
  </si>
  <si>
    <t xml:space="preserve">171</t>
  </si>
  <si>
    <t xml:space="preserve">X10</t>
  </si>
  <si>
    <t xml:space="preserve">Null Theorem</t>
  </si>
  <si>
    <t xml:space="preserve">A Rift Lord attack that reverses your controls for 3 s, telegraphed by a purple glyph.</t>
  </si>
  <si>
    <t xml:space="preserve">80</t>
  </si>
  <si>
    <t xml:space="preserve">X11</t>
  </si>
  <si>
    <t xml:space="preserve">Hero's Codex</t>
  </si>
  <si>
    <t xml:space="preserve">Socket boss sigils into it to open the hidden Time Vault.</t>
  </si>
  <si>
    <t xml:space="preserve">164</t>
  </si>
  <si>
    <t xml:space="preserve">X12</t>
  </si>
  <si>
    <t xml:space="preserve">Realm Shard quest</t>
  </si>
  <si>
    <t xml:space="preserve">Story</t>
  </si>
  <si>
    <t xml:space="preserve">The four shards are pieces of the World Core; gathering them unlocks the endings.</t>
  </si>
  <si>
    <t xml:space="preserve">129</t>
  </si>
  <si>
    <t xml:space="preserve">X13</t>
  </si>
  <si>
    <t xml:space="preserve">Vehicles</t>
  </si>
  <si>
    <t xml:space="preserve">Not used</t>
  </si>
  <si>
    <t xml:space="preserve">No vehicle system is planned; a candidate for a later mount or vehicle feature.</t>
  </si>
  <si>
    <t xml:space="preserve">56</t>
  </si>
  <si>
    <t xml:space="preserve">Tuning</t>
  </si>
  <si>
    <t xml:space="preserve">Blue cells are inputs. Weapon, armour and price numbers on the other sheets are formulas that read these two tables. Values are starting points from the plan, meant to be tuned with playtest data.</t>
  </si>
  <si>
    <t xml:space="preserve">Plays as</t>
  </si>
  <si>
    <t xml:space="preserve">Damage per hit</t>
  </si>
  <si>
    <t xml:space="preserve">Base DPS</t>
  </si>
  <si>
    <t xml:space="preserve">First stage</t>
  </si>
  <si>
    <t xml:space="preserve">Named weapons</t>
  </si>
  <si>
    <t xml:space="preserve">3-hit combo arc</t>
  </si>
  <si>
    <t xml:space="preserve">Human</t>
  </si>
  <si>
    <t xml:space="preserve">Slow wide arc, charged slam</t>
  </si>
  <si>
    <t xml:space="preserve">Demon</t>
  </si>
  <si>
    <t xml:space="preserve">Homing bolts</t>
  </si>
  <si>
    <t xml:space="preserve">God</t>
  </si>
  <si>
    <t xml:space="preserve">Continuous beam that builds heat</t>
  </si>
  <si>
    <t xml:space="preserve">Alien</t>
  </si>
  <si>
    <t xml:space="preserve">Fast single shots, active reload</t>
  </si>
  <si>
    <t xml:space="preserve">360-degree sweep</t>
  </si>
  <si>
    <t xml:space="preserve">Long thrust that pierces a line</t>
  </si>
  <si>
    <t xml:space="preserve">Turret that follows you and fires on its own</t>
  </si>
  <si>
    <t xml:space="preserve">Wide spread, knockback</t>
  </si>
  <si>
    <t xml:space="preserve">Hold to charge a piercing shot</t>
  </si>
  <si>
    <t xml:space="preserve">Fast flurry</t>
  </si>
  <si>
    <t xml:space="preserve">Orbiting projectiles and auras</t>
  </si>
  <si>
    <t xml:space="preserve">Acid pools and parasites</t>
  </si>
  <si>
    <t xml:space="preserve">Explosive area shots</t>
  </si>
  <si>
    <t xml:space="preserve">Any</t>
  </si>
  <si>
    <t xml:space="preserve">Thrown, ricochets, returns</t>
  </si>
  <si>
    <t xml:space="preserve">Damage and attacks/s are level-1 values; energy beams count each 0.1 s tick as one hit.</t>
  </si>
  <si>
    <t xml:space="preserve">Damage multiplier</t>
  </si>
  <si>
    <t xml:space="preserve">Affixes</t>
  </si>
  <si>
    <t xml:space="preserve">Armour defence</t>
  </si>
  <si>
    <t xml:space="preserve">Armour bonus HP</t>
  </si>
  <si>
    <t xml:space="preserve">Legendary and Mythic items are never sold, so their price cells stay empty.</t>
  </si>
  <si>
    <t xml:space="preserve">Your row</t>
  </si>
  <si>
    <t xml:space="preserve">Your item</t>
  </si>
  <si>
    <t xml:space="preserve">Your category</t>
  </si>
  <si>
    <t xml:space="preserve">Became (game items)</t>
  </si>
  <si>
    <t xml:space="preserve">Game IDs</t>
  </si>
  <si>
    <t xml:space="preserve">Arc Reactor</t>
  </si>
  <si>
    <t xml:space="preserve">Power Core / Artifact</t>
  </si>
  <si>
    <t xml:space="preserve">Mark L / LXXXV Nanotech Armor</t>
  </si>
  <si>
    <t xml:space="preserve">Tactical Armor</t>
  </si>
  <si>
    <t xml:space="preserve">Palm Repulsors</t>
  </si>
  <si>
    <t xml:space="preserve">Energy Weapon</t>
  </si>
  <si>
    <t xml:space="preserve">Unibeam</t>
  </si>
  <si>
    <t xml:space="preserve">Micro-Missile Pods</t>
  </si>
  <si>
    <t xml:space="preserve">Ballistic / Explosive Weapon</t>
  </si>
  <si>
    <t xml:space="preserve">Laser Cutter</t>
  </si>
  <si>
    <t xml:space="preserve">J.A.R.V.I.S. / F.R.I.D.A.Y. HUD</t>
  </si>
  <si>
    <t xml:space="preserve">Tactical Gear / AI System</t>
  </si>
  <si>
    <t xml:space="preserve">Veronica (Hulkbuster)</t>
  </si>
  <si>
    <t xml:space="preserve">Orbital Support / Heavy Armor</t>
  </si>
  <si>
    <t xml:space="preserve">Mjolnir</t>
  </si>
  <si>
    <t xml:space="preserve">Mythic Melee Weapon</t>
  </si>
  <si>
    <t xml:space="preserve">Worthiness Enchantment</t>
  </si>
  <si>
    <t xml:space="preserve">Mystical Enchantment</t>
  </si>
  <si>
    <t xml:space="preserve">Stormbreaker</t>
  </si>
  <si>
    <t xml:space="preserve">Bifrost Summoner</t>
  </si>
  <si>
    <t xml:space="preserve">Electrokinesis (Lightning Generation)</t>
  </si>
  <si>
    <t xml:space="preserve">Biological Ability</t>
  </si>
  <si>
    <t xml:space="preserve">Megingjord</t>
  </si>
  <si>
    <t xml:space="preserve">Mystical Artifact</t>
  </si>
  <si>
    <t xml:space="preserve">Proto-Adamantium / Vibranium Shield</t>
  </si>
  <si>
    <t xml:space="preserve">Defensive / Thrown Weapon</t>
  </si>
  <si>
    <t xml:space="preserve">Magnetic Return Gauntlet</t>
  </si>
  <si>
    <t xml:space="preserve">Tactical Gear</t>
  </si>
  <si>
    <t xml:space="preserve">Super-Soldier Serum Physiology</t>
  </si>
  <si>
    <t xml:space="preserve">Biological Enhancement</t>
  </si>
  <si>
    <t xml:space="preserve">EXO-7 Falcon Wings (Vibranium Upgrade)</t>
  </si>
  <si>
    <t xml:space="preserve">Tactical Flight Gear</t>
  </si>
  <si>
    <t xml:space="preserve">Redwing Drone</t>
  </si>
  <si>
    <t xml:space="preserve">Autonomous Combat Drone</t>
  </si>
  <si>
    <t xml:space="preserve">Mechanical Web-Shooters</t>
  </si>
  <si>
    <t xml:space="preserve">Tactical Gadget / Projectile</t>
  </si>
  <si>
    <t xml:space="preserve">Web Cartridge Belt</t>
  </si>
  <si>
    <t xml:space="preserve">Iron Spider Waldoes</t>
  </si>
  <si>
    <t xml:space="preserve">Mechanical Weapon / Appendage</t>
  </si>
  <si>
    <t xml:space="preserve">Spider-Sense (Peter Tingle)</t>
  </si>
  <si>
    <t xml:space="preserve">Wall-Crawling Van der Waals Force</t>
  </si>
  <si>
    <t xml:space="preserve">Karen AI &amp; Web-Grenades</t>
  </si>
  <si>
    <t xml:space="preserve">Eye of Agamotto</t>
  </si>
  <si>
    <t xml:space="preserve">Mystical Relic</t>
  </si>
  <si>
    <t xml:space="preserve">Cloak of Levitation</t>
  </si>
  <si>
    <t xml:space="preserve">Sling Ring</t>
  </si>
  <si>
    <t xml:space="preserve">Eldritch Whips &amp; Tao Mandalas</t>
  </si>
  <si>
    <t xml:space="preserve">Magical Construct</t>
  </si>
  <si>
    <t xml:space="preserve">Crimson Bands of Cyttorak</t>
  </si>
  <si>
    <t xml:space="preserve">Magical Spell / Restraint</t>
  </si>
  <si>
    <t xml:space="preserve">Book of Vishanti / Darkhold</t>
  </si>
  <si>
    <t xml:space="preserve">Mystical Grimoire</t>
  </si>
  <si>
    <t xml:space="preserve">Vibranium Microweave Habit</t>
  </si>
  <si>
    <t xml:space="preserve">Anti-Metal Claws</t>
  </si>
  <si>
    <t xml:space="preserve">Melee Weapon</t>
  </si>
  <si>
    <t xml:space="preserve">Kimoyo Beads</t>
  </si>
  <si>
    <t xml:space="preserve">Tactical Gadget</t>
  </si>
  <si>
    <t xml:space="preserve">Heart-Shaped Herb Physiology</t>
  </si>
  <si>
    <t xml:space="preserve">Vibranium Gauntlets</t>
  </si>
  <si>
    <t xml:space="preserve">Sonic Weapon</t>
  </si>
  <si>
    <t xml:space="preserve">The Infinity Gauntlet</t>
  </si>
  <si>
    <t xml:space="preserve">Cosmic Artifact</t>
  </si>
  <si>
    <t xml:space="preserve">Space Stone (Tesseract)</t>
  </si>
  <si>
    <t xml:space="preserve">Cosmic Singularity</t>
  </si>
  <si>
    <t xml:space="preserve">Mind Stone (Loki's Scepter)</t>
  </si>
  <si>
    <t xml:space="preserve">Reality Stone (Aether)</t>
  </si>
  <si>
    <t xml:space="preserve">Power Stone (Orb)</t>
  </si>
  <si>
    <t xml:space="preserve">Time Stone</t>
  </si>
  <si>
    <t xml:space="preserve">Soul Stone</t>
  </si>
  <si>
    <t xml:space="preserve">The Ten Rings</t>
  </si>
  <si>
    <t xml:space="preserve">Mystical / Alien Weapon</t>
  </si>
  <si>
    <t xml:space="preserve">Gungnir</t>
  </si>
  <si>
    <t xml:space="preserve">Mythic Melee / Energy Weapon</t>
  </si>
  <si>
    <t xml:space="preserve">All-Black the Necrosword</t>
  </si>
  <si>
    <t xml:space="preserve">Cosmic Symbiote Weapon</t>
  </si>
  <si>
    <t xml:space="preserve">Yaka Arrow &amp; Fin</t>
  </si>
  <si>
    <t xml:space="preserve">Kinetic Projectile Weapon</t>
  </si>
  <si>
    <t xml:space="preserve">Ebony Blade</t>
  </si>
  <si>
    <t xml:space="preserve">Cursed Melee Weapon</t>
  </si>
  <si>
    <t xml:space="preserve">Batarangs</t>
  </si>
  <si>
    <t xml:space="preserve">Thrown Weapon</t>
  </si>
  <si>
    <t xml:space="preserve">Grapnel Gun</t>
  </si>
  <si>
    <t xml:space="preserve">Tactical Mobility Gadget</t>
  </si>
  <si>
    <t xml:space="preserve">Memory Cloth Cape (Bat-Wings)</t>
  </si>
  <si>
    <t xml:space="preserve">Tactical Glider / Gear</t>
  </si>
  <si>
    <t xml:space="preserve">Utility Belt</t>
  </si>
  <si>
    <t xml:space="preserve">Cryptographic Sequencer</t>
  </si>
  <si>
    <t xml:space="preserve">Tactical Hacking Gadget</t>
  </si>
  <si>
    <t xml:space="preserve">Detective Vision Cowl Lenses</t>
  </si>
  <si>
    <t xml:space="preserve">Tactical Sensor / HUD</t>
  </si>
  <si>
    <t xml:space="preserve">Kryptonite Spear / Gas Grenades</t>
  </si>
  <si>
    <t xml:space="preserve">Specialized Weapon</t>
  </si>
  <si>
    <t xml:space="preserve">Banestone Pike; Banegas Grenade</t>
  </si>
  <si>
    <t xml:space="preserve">W092, C13</t>
  </si>
  <si>
    <t xml:space="preserve">Batmobile (Tumbler / Pursuit Mode)</t>
  </si>
  <si>
    <t xml:space="preserve">Combat Vehicle</t>
  </si>
  <si>
    <t xml:space="preserve">Hellbat Armor</t>
  </si>
  <si>
    <t xml:space="preserve">Heavy Exosuit Armor</t>
  </si>
  <si>
    <t xml:space="preserve">Kryptonian Bio-Suit</t>
  </si>
  <si>
    <t xml:space="preserve">Alien Armor</t>
  </si>
  <si>
    <t xml:space="preserve">Heat Vision (Laser Eyes)</t>
  </si>
  <si>
    <t xml:space="preserve">Biological Energy Ability</t>
  </si>
  <si>
    <t xml:space="preserve">Freeze Breath (Cold Breath)</t>
  </si>
  <si>
    <t xml:space="preserve">Biological Elemental Ability</t>
  </si>
  <si>
    <t xml:space="preserve">Solar Flare</t>
  </si>
  <si>
    <t xml:space="preserve">Tactile Telekinesis / Bio-Electric Aura</t>
  </si>
  <si>
    <t xml:space="preserve">Biological Defensive Ability</t>
  </si>
  <si>
    <t xml:space="preserve">X-Ray &amp; Microscopic Vision</t>
  </si>
  <si>
    <t xml:space="preserve">Biological Sensory Ability</t>
  </si>
  <si>
    <t xml:space="preserve">Fortress of Solitude Key</t>
  </si>
  <si>
    <t xml:space="preserve">Alien Artifact</t>
  </si>
  <si>
    <t xml:space="preserve">Phantom Zone Projector</t>
  </si>
  <si>
    <t xml:space="preserve">Dimensional Weapon / Gadget</t>
  </si>
  <si>
    <t xml:space="preserve">Lasso of Hestia (Lasso of Truth)</t>
  </si>
  <si>
    <t xml:space="preserve">Divine Weapon / Artifact</t>
  </si>
  <si>
    <t xml:space="preserve">Bracelets of Submission</t>
  </si>
  <si>
    <t xml:space="preserve">Divine Defensive Gear</t>
  </si>
  <si>
    <t xml:space="preserve">Sword of Athena</t>
  </si>
  <si>
    <t xml:space="preserve">Divine Melee Weapon</t>
  </si>
  <si>
    <t xml:space="preserve">Aegis Shield</t>
  </si>
  <si>
    <t xml:space="preserve">Divine Defensive Weapon</t>
  </si>
  <si>
    <t xml:space="preserve">Royal Tiara</t>
  </si>
  <si>
    <t xml:space="preserve">Thrown / Melee Weapon</t>
  </si>
  <si>
    <t xml:space="preserve">Oan Power Ring</t>
  </si>
  <si>
    <t xml:space="preserve">Cosmic Weapon</t>
  </si>
  <si>
    <t xml:space="preserve">Hard-Light Constructs</t>
  </si>
  <si>
    <t xml:space="preserve">Energy Projection</t>
  </si>
  <si>
    <t xml:space="preserve">Central Power Battery (Lantern)</t>
  </si>
  <si>
    <t xml:space="preserve">Universal Translator &amp; Space Survival Aura</t>
  </si>
  <si>
    <t xml:space="preserve">Cosmic Support Subsystem</t>
  </si>
  <si>
    <t xml:space="preserve">Trident of Atlan</t>
  </si>
  <si>
    <t xml:space="preserve">The Flash Ring</t>
  </si>
  <si>
    <t xml:space="preserve">Tactical Storage Gadget</t>
  </si>
  <si>
    <t xml:space="preserve">Speed Force Aura</t>
  </si>
  <si>
    <t xml:space="preserve">Extradimensional Ability</t>
  </si>
  <si>
    <t xml:space="preserve">Cosmic Treadmill</t>
  </si>
  <si>
    <t xml:space="preserve">Temporal Device</t>
  </si>
  <si>
    <t xml:space="preserve">Mother Boxes (Three Boxes)</t>
  </si>
  <si>
    <t xml:space="preserve">Cosmic Supercomputer / Artifact</t>
  </si>
  <si>
    <t xml:space="preserve">The Anti-Life Equation</t>
  </si>
  <si>
    <t xml:space="preserve">Cosmic Formula / Weapon</t>
  </si>
  <si>
    <t xml:space="preserve">Helmet of Fate (Nabu)</t>
  </si>
  <si>
    <t xml:space="preserve">Trident &amp; Scarab (Blue Beetle - Khaji Da)</t>
  </si>
  <si>
    <t xml:space="preserve">Alien Biotech Armor / Weapon</t>
  </si>
  <si>
    <t xml:space="preserve">The One Ring</t>
  </si>
  <si>
    <t xml:space="preserve">Supreme Mystical Artifact</t>
  </si>
  <si>
    <t xml:space="preserve">Narya (Ring of Fire)</t>
  </si>
  <si>
    <t xml:space="preserve">Elven Ring of Power</t>
  </si>
  <si>
    <t xml:space="preserve">Nenya (Ring of Water)</t>
  </si>
  <si>
    <t xml:space="preserve">Vilya (Ring of Air)</t>
  </si>
  <si>
    <t xml:space="preserve">Anduril (Flame of the West)</t>
  </si>
  <si>
    <t xml:space="preserve">Sting</t>
  </si>
  <si>
    <t xml:space="preserve">Enchanted Melee Weapon</t>
  </si>
  <si>
    <t xml:space="preserve">Glamdring (Foe-hammer) &amp; Orcrist</t>
  </si>
  <si>
    <t xml:space="preserve">Mithril Coat</t>
  </si>
  <si>
    <t xml:space="preserve">Mythic Armor</t>
  </si>
  <si>
    <t xml:space="preserve">Phial of Galadriel</t>
  </si>
  <si>
    <t xml:space="preserve">Palantiri (Seeing-stones)</t>
  </si>
  <si>
    <t xml:space="preserve">Mystical Communication Artifact</t>
  </si>
  <si>
    <t xml:space="preserve">Grond</t>
  </si>
  <si>
    <t xml:space="preserve">Enchanted Siege Weapon</t>
  </si>
  <si>
    <t xml:space="preserve">Morgul-blade</t>
  </si>
  <si>
    <t xml:space="preserve">The Elder Wand (Deathstick)</t>
  </si>
  <si>
    <t xml:space="preserve">Deathly Hallow / Magical Weapon</t>
  </si>
  <si>
    <t xml:space="preserve">The Cloak of Invisibility</t>
  </si>
  <si>
    <t xml:space="preserve">Deathly Hallow / Stealth Artifact</t>
  </si>
  <si>
    <t xml:space="preserve">The Resurrection Stone</t>
  </si>
  <si>
    <t xml:space="preserve">Deathly Hallow / Mystical Artifact</t>
  </si>
  <si>
    <t xml:space="preserve">Sword of Gryffindor</t>
  </si>
  <si>
    <t xml:space="preserve">Time-Turner</t>
  </si>
  <si>
    <t xml:space="preserve">Temporal Magical Artifact</t>
  </si>
  <si>
    <t xml:space="preserve">Marauder's Map</t>
  </si>
  <si>
    <t xml:space="preserve">Magical Surveillance Artifact</t>
  </si>
  <si>
    <t xml:space="preserve">Pensieve</t>
  </si>
  <si>
    <t xml:space="preserve">Magical Memory Artifact</t>
  </si>
  <si>
    <t xml:space="preserve">Deluminator (Put-Outer)</t>
  </si>
  <si>
    <t xml:space="preserve">Magical Gadget / Artifact</t>
  </si>
  <si>
    <t xml:space="preserve">Horcruxes</t>
  </si>
  <si>
    <t xml:space="preserve">Dark Magic Soul Artifact</t>
  </si>
  <si>
    <t xml:space="preserve">Valyrian Steel Blades (Longclaw, Ice, Oathkeeper, Dark Sister)</t>
  </si>
  <si>
    <t xml:space="preserve">Dragonglass (Obsidian)</t>
  </si>
  <si>
    <t xml:space="preserve">Magical Mineral Weapon</t>
  </si>
  <si>
    <t xml:space="preserve">Wildfire</t>
  </si>
  <si>
    <t xml:space="preserve">Alchemical Explosive / Incendiary</t>
  </si>
  <si>
    <t xml:space="preserve">Excalibur &amp; Its Scabbard</t>
  </si>
  <si>
    <t xml:space="preserve">Mythic Melee Weapon &amp; Relic</t>
  </si>
  <si>
    <t xml:space="preserve">Sovereign Blade; Bloodless Scabbard</t>
  </si>
  <si>
    <t xml:space="preserve">W087, R46</t>
  </si>
  <si>
    <t xml:space="preserve">Poseidon's Riptide (Anaklusmos)</t>
  </si>
  <si>
    <t xml:space="preserve">Aegis Shield &amp; Medusa's Head</t>
  </si>
  <si>
    <t xml:space="preserve">Mythic Shield &amp; Biological Trophy Weapon</t>
  </si>
  <si>
    <t xml:space="preserve">Lightsaber</t>
  </si>
  <si>
    <t xml:space="preserve">Plasma Melee Weapon</t>
  </si>
  <si>
    <t xml:space="preserve">The Darksaber</t>
  </si>
  <si>
    <t xml:space="preserve">Ancient Plasma Melee Weapon</t>
  </si>
  <si>
    <t xml:space="preserve">Beskar Armor (Mandalorian Iron)</t>
  </si>
  <si>
    <t xml:space="preserve">Tactical Alloy Armor</t>
  </si>
  <si>
    <t xml:space="preserve">Whistling Birds</t>
  </si>
  <si>
    <t xml:space="preserve">Micro-Missile Weapon</t>
  </si>
  <si>
    <t xml:space="preserve">Bowcaster</t>
  </si>
  <si>
    <t xml:space="preserve">Magnetic Plasma Projectile Weapon</t>
  </si>
  <si>
    <t xml:space="preserve">Thermal Detonator</t>
  </si>
  <si>
    <t xml:space="preserve">Thermonuclear Explosive</t>
  </si>
  <si>
    <t xml:space="preserve">Force Lightning</t>
  </si>
  <si>
    <t xml:space="preserve">Biological / Mystical Ability</t>
  </si>
  <si>
    <t xml:space="preserve">Jedi Mind Trick</t>
  </si>
  <si>
    <t xml:space="preserve">Force Choke / Telekinesis</t>
  </si>
  <si>
    <t xml:space="preserve">Crysknife</t>
  </si>
  <si>
    <t xml:space="preserve">Biological Melee Weapon</t>
  </si>
  <si>
    <t xml:space="preserve">Holtzman Personal Shield</t>
  </si>
  <si>
    <t xml:space="preserve">Kinetic Energy Shield</t>
  </si>
  <si>
    <t xml:space="preserve">Gom Jabbar &amp; Agony Box</t>
  </si>
  <si>
    <t xml:space="preserve">Assassination Needle &amp; Nerve Device</t>
  </si>
  <si>
    <t xml:space="preserve">The Voice</t>
  </si>
  <si>
    <t xml:space="preserve">Biological Vocal Ability</t>
  </si>
  <si>
    <t xml:space="preserve">Yautja Plasma Caster &amp; Bio-Mask</t>
  </si>
  <si>
    <t xml:space="preserve">Directed Energy Weapon &amp; Sensor Helmet</t>
  </si>
  <si>
    <t xml:space="preserve">Smart Disc &amp; Combi-Stick</t>
  </si>
  <si>
    <t xml:space="preserve">Thrown &amp; Melee Hunting Weapons</t>
  </si>
  <si>
    <t xml:space="preserve">Hunter's Pike; Hunter's Disc</t>
  </si>
  <si>
    <t xml:space="preserve">W023, W078</t>
  </si>
  <si>
    <t xml:space="preserve">Neuralyzer</t>
  </si>
  <si>
    <t xml:space="preserve">Memory-Erasing Gadget</t>
  </si>
  <si>
    <t xml:space="preserve">Noisy Cricket</t>
  </si>
  <si>
    <t xml:space="preserve">Subcompact Energy Pistol</t>
  </si>
  <si>
    <t xml:space="preserve">Omnitrix</t>
  </si>
  <si>
    <t xml:space="preserve">Alien DNA Transformation Matrix</t>
  </si>
  <si>
    <t xml:space="preserve">Zanpakuto (Shikai &amp; Bankai)</t>
  </si>
  <si>
    <t xml:space="preserve">Spiritual Melee Weapon</t>
  </si>
  <si>
    <t xml:space="preserve">The Dragon Balls</t>
  </si>
  <si>
    <t xml:space="preserve">Wish-Granting Cosmic Artifacts</t>
  </si>
  <si>
    <t xml:space="preserve">Hollow Core; Realm Shard quest</t>
  </si>
  <si>
    <t xml:space="preserve">R49, X12</t>
  </si>
  <si>
    <t xml:space="preserve">Ultimatrix (Evolutionary Function)</t>
  </si>
  <si>
    <t xml:space="preserve">Ascalon</t>
  </si>
  <si>
    <t xml:space="preserve">Cosmic Reality-Warping Sword</t>
  </si>
  <si>
    <t xml:space="preserve">Proto-Tool (Rook Blonko)</t>
  </si>
  <si>
    <t xml:space="preserve">Multi-Form Tactical Weapon</t>
  </si>
  <si>
    <t xml:space="preserve">Plumber Badge</t>
  </si>
  <si>
    <t xml:space="preserve">Intergalactic Comm &amp; Tactical Gear</t>
  </si>
  <si>
    <t xml:space="preserve">Charms of Bezel</t>
  </si>
  <si>
    <t xml:space="preserve">Mystical Luck &amp; Elemental Stones</t>
  </si>
  <si>
    <t xml:space="preserve">Gambler's Charm; Echoing Charm</t>
  </si>
  <si>
    <t xml:space="preserve">R17, R38</t>
  </si>
  <si>
    <t xml:space="preserve">Ruby Ray of Rouleau</t>
  </si>
  <si>
    <t xml:space="preserve">Laser Energy Artifact</t>
  </si>
  <si>
    <t xml:space="preserve">The Avatar State</t>
  </si>
  <si>
    <t xml:space="preserve">Cosmic / Spiritual Ability</t>
  </si>
  <si>
    <t xml:space="preserve">Aang's Air Nomad Glider Staff</t>
  </si>
  <si>
    <t xml:space="preserve">Mobility &amp; Bending Weapon</t>
  </si>
  <si>
    <t xml:space="preserve">Sokka's Space Sword</t>
  </si>
  <si>
    <t xml:space="preserve">Meteorite Melee Weapon</t>
  </si>
  <si>
    <t xml:space="preserve">Meteor Jian; Starfall Ore</t>
  </si>
  <si>
    <t xml:space="preserve">W081, X06</t>
  </si>
  <si>
    <t xml:space="preserve">Sokka's Boomerang</t>
  </si>
  <si>
    <t xml:space="preserve">Thrown Kinetic Weapon</t>
  </si>
  <si>
    <t xml:space="preserve">Zuko's Dual Dao Swords</t>
  </si>
  <si>
    <t xml:space="preserve">Twin Melee Weapons</t>
  </si>
  <si>
    <t xml:space="preserve">Lightning Generation &amp; Redirection</t>
  </si>
  <si>
    <t xml:space="preserve">Elemental Bending Ability</t>
  </si>
  <si>
    <t xml:space="preserve">Bloodbending</t>
  </si>
  <si>
    <t xml:space="preserve">Biological / Elemental Ability</t>
  </si>
  <si>
    <t xml:space="preserve">Metalbending Cable Spools</t>
  </si>
  <si>
    <t xml:space="preserve">Tactical Mobility &amp; Restraint Gear</t>
  </si>
  <si>
    <t xml:space="preserve">Equalist Electrified Glove</t>
  </si>
  <si>
    <t xml:space="preserve">Tactical Melee Weapon</t>
  </si>
  <si>
    <t xml:space="preserve">Interdimensional Portal Gun</t>
  </si>
  <si>
    <t xml:space="preserve">Multiversal Teleportation Device</t>
  </si>
  <si>
    <t xml:space="preserve">Meeseeks Box</t>
  </si>
  <si>
    <t xml:space="preserve">Existential Summoning Gadget</t>
  </si>
  <si>
    <t xml:space="preserve">Cybernetic Augmentation Implants</t>
  </si>
  <si>
    <t xml:space="preserve">Bionic Body Sub-Systems</t>
  </si>
  <si>
    <t xml:space="preserve">Butter Robot / Neutrino Bomb</t>
  </si>
  <si>
    <t xml:space="preserve">Improvised Doomsday Explosive</t>
  </si>
  <si>
    <t xml:space="preserve">Space Cruiser (Trash Ship)</t>
  </si>
  <si>
    <t xml:space="preserve">Sentient Combat Vehicle</t>
  </si>
  <si>
    <t xml:space="preserve">Operation Phoenix Clones</t>
  </si>
  <si>
    <t xml:space="preserve">Biological Backup System</t>
  </si>
  <si>
    <t xml:space="preserve">Fenton Thermos</t>
  </si>
  <si>
    <t xml:space="preserve">Ectoplasmic Containment Gadget</t>
  </si>
  <si>
    <t xml:space="preserve">Ghostly Wail</t>
  </si>
  <si>
    <t xml:space="preserve">Sonic Ectoplasmic Ability</t>
  </si>
  <si>
    <t xml:space="preserve">Intangibility &amp; Invisibility</t>
  </si>
  <si>
    <t xml:space="preserve">Biological / Ecto-Hybrid Ability</t>
  </si>
  <si>
    <t xml:space="preserve">Ecto-Skeleton (Fenton Peeler)</t>
  </si>
  <si>
    <t xml:space="preserve">Power-Amplifying Exosuit</t>
  </si>
  <si>
    <t xml:space="preserve">Reality Gauntlet</t>
  </si>
  <si>
    <t xml:space="preserve">Cosmic Wish-Granting Artifact</t>
  </si>
  <si>
    <t xml:space="preserve">The Magic Katana</t>
  </si>
  <si>
    <t xml:space="preserve">Scotsman's Celtic Runes Claymore</t>
  </si>
  <si>
    <t xml:space="preserve">Scotsman's Machine-Gun Peg Leg</t>
  </si>
  <si>
    <t xml:space="preserve">Ballistic Prosthetic Weapon</t>
  </si>
  <si>
    <t xml:space="preserve">Aku's Eye Lasers &amp; Shapeshifting</t>
  </si>
  <si>
    <t xml:space="preserve">Demonic Biological Abilities</t>
  </si>
  <si>
    <t xml:space="preserve">Grass Sword</t>
  </si>
  <si>
    <t xml:space="preserve">Cursed Symbiotic Melee Weapon</t>
  </si>
  <si>
    <t xml:space="preserve">Demon Blood Sword</t>
  </si>
  <si>
    <t xml:space="preserve">Demonic Melee Weapon</t>
  </si>
  <si>
    <t xml:space="preserve">Finn Sword</t>
  </si>
  <si>
    <t xml:space="preserve">Temporal Paradox Melee Weapon</t>
  </si>
  <si>
    <t xml:space="preserve">Ice King's Crown</t>
  </si>
  <si>
    <t xml:space="preserve">Wish-Magic Cryokinetic Artifact</t>
  </si>
  <si>
    <t xml:space="preserve">The Enchiridion</t>
  </si>
  <si>
    <t xml:space="preserve">Multiversal Grimoire / Artifact</t>
  </si>
  <si>
    <t xml:space="preserve">Marceline's Ax-Bass</t>
  </si>
  <si>
    <t xml:space="preserve">Sonic / Melee Weapon</t>
  </si>
  <si>
    <t xml:space="preserve">Robin's Collapsible Bo Staff</t>
  </si>
  <si>
    <t xml:space="preserve">Birdarangs &amp; Freeze Discs</t>
  </si>
  <si>
    <t xml:space="preserve">Thrown Tactical Gadgets</t>
  </si>
  <si>
    <t xml:space="preserve">Cyborg's Sonic Cannon</t>
  </si>
  <si>
    <t xml:space="preserve">Bionic Sonic Weapon</t>
  </si>
  <si>
    <t xml:space="preserve">Raven's Azarath Metrion Zinthos (Soul-Self)</t>
  </si>
  <si>
    <t xml:space="preserve">Mystical / Astral Ability</t>
  </si>
  <si>
    <t xml:space="preserve">Starfire's Starbolts</t>
  </si>
  <si>
    <t xml:space="preserve">Biological Tamaranean Ability</t>
  </si>
  <si>
    <t xml:space="preserve">The Three Journals (1, 2 &amp; 3)</t>
  </si>
  <si>
    <t xml:space="preserve">Arcane Research Compendium</t>
  </si>
  <si>
    <t xml:space="preserve">Memory Gun (Society of the Blind Eye)</t>
  </si>
  <si>
    <t xml:space="preserve">Cognitive Erasure Ray</t>
  </si>
  <si>
    <t xml:space="preserve">Quantum Destabilizer</t>
  </si>
  <si>
    <t xml:space="preserve">Antimatter Ballistic Rifle</t>
  </si>
  <si>
    <t xml:space="preserve">Rose Quartz's Shield &amp; Bubble</t>
  </si>
  <si>
    <t xml:space="preserve">Gem Hard-Light Construct</t>
  </si>
  <si>
    <t xml:space="preserve">Garnet's Rocket Gauntlets</t>
  </si>
  <si>
    <t xml:space="preserve">Gem Hard-Light Melee Weapon</t>
  </si>
  <si>
    <t xml:space="preserve">Gem Rejuvenator</t>
  </si>
  <si>
    <t xml:space="preserve">Biological / Gem Reset Scythe</t>
  </si>
  <si>
    <t xml:space="preserve">Royal Magic Wand</t>
  </si>
  <si>
    <t xml:space="preserve">Dimensional Heirloom Artifact</t>
  </si>
  <si>
    <t xml:space="preserve">Sword of Power</t>
  </si>
  <si>
    <t xml:space="preserve">Cosmic Conduit Melee Weapon</t>
  </si>
  <si>
    <t xml:space="preserve">Skeletor's Havoc Staff</t>
  </si>
  <si>
    <t xml:space="preserve">Dark Magic Conduit</t>
  </si>
  <si>
    <t xml:space="preserve">Sword of Omens &amp; Eye of Thundera</t>
  </si>
  <si>
    <t xml:space="preserve">Sentient Mythic Melee Weapon</t>
  </si>
  <si>
    <t xml:space="preserve">Leonardo's Dual Ninjato, Donatello's Bo, Raphael's Sai &amp; Mikey's Nunchaku</t>
  </si>
  <si>
    <t xml:space="preserve">Ninja Martial Arts Arsenal</t>
  </si>
  <si>
    <t xml:space="preserve">Shadow Ninjato Pair; Quickstrike Bo; Twin Sai; Chain Flail Sticks</t>
  </si>
  <si>
    <t xml:space="preserve">W002, W022, W054, W055</t>
  </si>
  <si>
    <t xml:space="preserve">Shen Gong Wu (Eye of Dashi, Sword of the Storm, Fist of Tebigong)</t>
  </si>
  <si>
    <t xml:space="preserve">Elemental Martial Arts Relics</t>
  </si>
  <si>
    <t xml:space="preserve">Cyclone Orbs; Gale Eye</t>
  </si>
  <si>
    <t xml:space="preserve">W061, R16</t>
  </si>
  <si>
    <t xml:space="preserve">2x4 Technology Arsenal (S.P.L.A.N.K.E.R. &amp; M.U.S.K.E.T.)</t>
  </si>
  <si>
    <t xml:space="preserve">Improvised Kid-Built Weaponry</t>
  </si>
  <si>
    <t xml:space="preserve">Scrapheap Scattergun; Toaster Mortar</t>
  </si>
  <si>
    <t xml:space="preserve">W044, W069</t>
  </si>
  <si>
    <t xml:space="preserve">Neptune's Golden Spatula &amp; Trident</t>
  </si>
  <si>
    <t xml:space="preserve">Sea-Deity Artifacts</t>
  </si>
  <si>
    <t xml:space="preserve">Tidecaller Trident; Gilded Spatula</t>
  </si>
  <si>
    <t xml:space="preserve">W025, W034</t>
  </si>
  <si>
    <t xml:space="preserve">ACME Portable Hole &amp; Toon Mallet</t>
  </si>
  <si>
    <t xml:space="preserve">Toon-Force Physics Gadgets</t>
  </si>
  <si>
    <t xml:space="preserve">Squash Mallet; Pocket Hole</t>
  </si>
  <si>
    <t xml:space="preserve">W005, C21</t>
  </si>
</sst>
</file>

<file path=xl/styles.xml><?xml version="1.0" encoding="utf-8"?>
<styleSheet xmlns="http://schemas.openxmlformats.org/spreadsheetml/2006/main">
  <numFmts count="5">
    <numFmt numFmtId="164" formatCode="General"/>
    <numFmt numFmtId="165" formatCode="0.00\×"/>
    <numFmt numFmtId="166" formatCode="0.0"/>
    <numFmt numFmtId="167" formatCode="0.00"/>
    <numFmt numFmtId="168" formatCode="#,##0"/>
  </numFmts>
  <fonts count="11">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0"/>
      <color rgb="FF555555"/>
      <name val="Arial"/>
      <family val="0"/>
      <charset val="1"/>
    </font>
    <font>
      <b val="true"/>
      <sz val="11"/>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s>
  <fills count="9">
    <fill>
      <patternFill patternType="none"/>
    </fill>
    <fill>
      <patternFill patternType="gray125"/>
    </fill>
    <fill>
      <patternFill patternType="solid">
        <fgColor rgb="FF1F2937"/>
        <bgColor rgb="FF333300"/>
      </patternFill>
    </fill>
    <fill>
      <patternFill patternType="solid">
        <fgColor rgb="FFF2F2F2"/>
        <bgColor rgb="FFE2F0D9"/>
      </patternFill>
    </fill>
    <fill>
      <patternFill patternType="solid">
        <fgColor rgb="FFE2F0D9"/>
        <bgColor rgb="FFDDEBF7"/>
      </patternFill>
    </fill>
    <fill>
      <patternFill patternType="solid">
        <fgColor rgb="FFDDEBF7"/>
        <bgColor rgb="FFE2F0D9"/>
      </patternFill>
    </fill>
    <fill>
      <patternFill patternType="solid">
        <fgColor rgb="FFE9DDF5"/>
        <bgColor rgb="FFDDEBF7"/>
      </patternFill>
    </fill>
    <fill>
      <patternFill patternType="solid">
        <fgColor rgb="FFFCE4D6"/>
        <bgColor rgb="FFF8D7DA"/>
      </patternFill>
    </fill>
    <fill>
      <patternFill patternType="solid">
        <fgColor rgb="FFF8D7DA"/>
        <bgColor rgb="FFFCE4D6"/>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9"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7" fillId="3" borderId="0" xfId="0" applyFont="true" applyBorder="false" applyAlignment="true" applyProtection="false">
      <alignment horizontal="center" vertical="top" textRotation="0" wrapText="false" indent="0" shrinkToFit="false"/>
      <protection locked="true" hidden="false"/>
    </xf>
    <xf numFmtId="164" fontId="7" fillId="4" borderId="0" xfId="0" applyFont="true" applyBorder="false" applyAlignment="true" applyProtection="false">
      <alignment horizontal="center" vertical="top" textRotation="0" wrapText="false" indent="0" shrinkToFit="false"/>
      <protection locked="true" hidden="false"/>
    </xf>
    <xf numFmtId="164" fontId="7" fillId="5" borderId="0" xfId="0" applyFont="true" applyBorder="false" applyAlignment="true" applyProtection="false">
      <alignment horizontal="center" vertical="top" textRotation="0" wrapText="false" indent="0" shrinkToFit="false"/>
      <protection locked="true" hidden="false"/>
    </xf>
    <xf numFmtId="164" fontId="7" fillId="6" borderId="0" xfId="0" applyFont="true" applyBorder="false" applyAlignment="true" applyProtection="false">
      <alignment horizontal="center" vertical="top" textRotation="0" wrapText="false" indent="0" shrinkToFit="false"/>
      <protection locked="true" hidden="false"/>
    </xf>
    <xf numFmtId="164" fontId="7" fillId="7" borderId="0" xfId="0" applyFont="true" applyBorder="false" applyAlignment="true" applyProtection="false">
      <alignment horizontal="center" vertical="top" textRotation="0" wrapText="false" indent="0" shrinkToFit="false"/>
      <protection locked="true" hidden="false"/>
    </xf>
    <xf numFmtId="164" fontId="7" fillId="8" borderId="0" xfId="0" applyFont="true" applyBorder="fals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center" vertical="top" textRotation="0" wrapText="fals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7" fontId="7" fillId="0" borderId="1" xfId="0" applyFont="true" applyBorder="true" applyAlignment="true" applyProtection="false">
      <alignment horizontal="center" vertical="top" textRotation="0" wrapText="false" indent="0" shrinkToFit="false"/>
      <protection locked="true" hidden="false"/>
    </xf>
    <xf numFmtId="168" fontId="7"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8" fontId="10"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2937"/>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F0D9"/>
          <bgColor rgb="FF000000"/>
        </patternFill>
      </fill>
    </dxf>
    <dxf>
      <fill>
        <patternFill patternType="solid">
          <fgColor rgb="FFE9DDF5"/>
          <bgColor rgb="FF000000"/>
        </patternFill>
      </fill>
    </dxf>
    <dxf>
      <fill>
        <patternFill patternType="solid">
          <fgColor rgb="FFF2F2F2"/>
          <bgColor rgb="FF000000"/>
        </patternFill>
      </fill>
    </dxf>
    <dxf>
      <fill>
        <patternFill patternType="solid">
          <fgColor rgb="FFF8D7DA"/>
          <bgColor rgb="FF000000"/>
        </patternFill>
      </fill>
    </dxf>
    <dxf>
      <fill>
        <patternFill patternType="solid">
          <fgColor rgb="FFFCE4D6"/>
          <bgColor rgb="FF000000"/>
        </patternFill>
      </fill>
    </dxf>
    <dxf>
      <fill>
        <patternFill patternType="solid">
          <fgColor rgb="FF0000FF"/>
          <bgColor rgb="FF000000"/>
        </patternFill>
      </fill>
    </dxf>
    <dxf>
      <fill>
        <patternFill>
          <bgColor rgb="FFF2F2F2"/>
        </patternFill>
      </fill>
    </dxf>
    <dxf>
      <fill>
        <patternFill>
          <bgColor rgb="FFE2F0D9"/>
        </patternFill>
      </fill>
    </dxf>
    <dxf>
      <fill>
        <patternFill>
          <bgColor rgb="FFDDEBF7"/>
        </patternFill>
      </fill>
    </dxf>
    <dxf>
      <fill>
        <patternFill>
          <bgColor rgb="FFE9DDF5"/>
        </patternFill>
      </fill>
    </dxf>
    <dxf>
      <fill>
        <patternFill>
          <bgColor rgb="FFFCE4D6"/>
        </patternFill>
      </fill>
    </dxf>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9DDF5"/>
      <rgbColor rgb="FFE2F0D9"/>
      <rgbColor rgb="FFFCE4D6"/>
      <rgbColor rgb="FF99CCFF"/>
      <rgbColor rgb="FFFF99CC"/>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6"/>
    <col collapsed="false" customWidth="true" hidden="false" outlineLevel="0" max="5" min="4" style="0" width="14"/>
    <col collapsed="false" customWidth="true" hidden="false" outlineLevel="0" max="6" min="6" style="0" width="16"/>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true" outlineLevel="0" collapsed="false">
      <c r="A4" s="3" t="s">
        <v>2</v>
      </c>
      <c r="B4" s="3"/>
      <c r="C4" s="3"/>
      <c r="D4" s="3"/>
      <c r="E4" s="3"/>
      <c r="F4" s="3"/>
    </row>
    <row r="5" customFormat="false" ht="31.5" hidden="false" customHeight="true" outlineLevel="0" collapsed="false">
      <c r="A5" s="4" t="s">
        <v>3</v>
      </c>
      <c r="B5" s="4"/>
      <c r="C5" s="4"/>
      <c r="D5" s="4"/>
      <c r="E5" s="4"/>
      <c r="F5" s="4"/>
    </row>
    <row r="6" customFormat="false" ht="31.5" hidden="false" customHeight="true" outlineLevel="0" collapsed="false">
      <c r="A6" s="4" t="s">
        <v>4</v>
      </c>
      <c r="B6" s="4"/>
      <c r="C6" s="4"/>
      <c r="D6" s="4"/>
      <c r="E6" s="4"/>
      <c r="F6" s="4"/>
    </row>
    <row r="7" customFormat="false" ht="31.5" hidden="false" customHeight="true" outlineLevel="0" collapsed="false">
      <c r="A7" s="4" t="s">
        <v>5</v>
      </c>
      <c r="B7" s="4"/>
      <c r="C7" s="4"/>
      <c r="D7" s="4"/>
      <c r="E7" s="4"/>
      <c r="F7" s="4"/>
    </row>
    <row r="8" customFormat="false" ht="18" hidden="false" customHeight="true" outlineLevel="0" collapsed="false">
      <c r="A8" s="4" t="s">
        <v>6</v>
      </c>
      <c r="B8" s="4"/>
      <c r="C8" s="4"/>
      <c r="D8" s="4"/>
      <c r="E8" s="4"/>
      <c r="F8" s="4"/>
    </row>
    <row r="9" customFormat="false" ht="15" hidden="false" customHeight="true" outlineLevel="0" collapsed="false">
      <c r="A9" s="4"/>
      <c r="B9" s="4"/>
      <c r="C9" s="4"/>
      <c r="D9" s="4"/>
      <c r="E9" s="4"/>
      <c r="F9" s="4"/>
    </row>
    <row r="10" customFormat="false" ht="15" hidden="false" customHeight="true" outlineLevel="0" collapsed="false">
      <c r="A10" s="3" t="s">
        <v>7</v>
      </c>
      <c r="B10" s="3"/>
      <c r="C10" s="3"/>
      <c r="D10" s="3"/>
      <c r="E10" s="3"/>
      <c r="F10" s="3"/>
    </row>
    <row r="11" customFormat="false" ht="31.5" hidden="false" customHeight="true" outlineLevel="0" collapsed="false">
      <c r="A11" s="4" t="s">
        <v>8</v>
      </c>
      <c r="B11" s="4"/>
      <c r="C11" s="4"/>
      <c r="D11" s="4"/>
      <c r="E11" s="4"/>
      <c r="F11" s="4"/>
    </row>
    <row r="12" customFormat="false" ht="31.5" hidden="false" customHeight="true" outlineLevel="0" collapsed="false">
      <c r="A12" s="4" t="s">
        <v>9</v>
      </c>
      <c r="B12" s="4"/>
      <c r="C12" s="4"/>
      <c r="D12" s="4"/>
      <c r="E12" s="4"/>
      <c r="F12" s="4"/>
    </row>
    <row r="13" customFormat="false" ht="31.5" hidden="false" customHeight="true" outlineLevel="0" collapsed="false">
      <c r="A13" s="4" t="s">
        <v>10</v>
      </c>
      <c r="B13" s="4"/>
      <c r="C13" s="4"/>
      <c r="D13" s="4"/>
      <c r="E13" s="4"/>
      <c r="F13" s="4"/>
    </row>
    <row r="14" customFormat="false" ht="18" hidden="false" customHeight="true" outlineLevel="0" collapsed="false">
      <c r="A14" s="4" t="s">
        <v>11</v>
      </c>
      <c r="B14" s="4"/>
      <c r="C14" s="4"/>
      <c r="D14" s="4"/>
      <c r="E14" s="4"/>
      <c r="F14" s="4"/>
    </row>
    <row r="16" customFormat="false" ht="15" hidden="false" customHeight="false" outlineLevel="0" collapsed="false">
      <c r="A16" s="5" t="s">
        <v>12</v>
      </c>
    </row>
    <row r="17" customFormat="false" ht="27.75" hidden="false" customHeight="true" outlineLevel="0" collapsed="false">
      <c r="A17" s="6" t="s">
        <v>13</v>
      </c>
      <c r="B17" s="6" t="s">
        <v>14</v>
      </c>
      <c r="C17" s="6" t="s">
        <v>15</v>
      </c>
      <c r="D17" s="6" t="s">
        <v>16</v>
      </c>
      <c r="E17" s="6" t="s">
        <v>17</v>
      </c>
      <c r="F17" s="6" t="s">
        <v>18</v>
      </c>
    </row>
    <row r="18" customFormat="false" ht="15" hidden="false" customHeight="false" outlineLevel="0" collapsed="false">
      <c r="A18" s="7" t="n">
        <v>1</v>
      </c>
      <c r="B18" s="7" t="n">
        <f aca="false">COUNTIF(Weapons!$G:$G,A18)</f>
        <v>12</v>
      </c>
      <c r="C18" s="7" t="n">
        <f aca="false">SUM($B$18:B18)</f>
        <v>12</v>
      </c>
      <c r="D18" s="7" t="n">
        <f aca="false">COUNTIF(Armour!$D:$D,A18)</f>
        <v>3</v>
      </c>
      <c r="E18" s="7" t="n">
        <f aca="false">COUNTIF(Relics!$D:$D,A18)</f>
        <v>0</v>
      </c>
      <c r="F18" s="7" t="n">
        <f aca="false">COUNTIF(Consumables!$D:$D,A18)</f>
        <v>3</v>
      </c>
    </row>
    <row r="19" customFormat="false" ht="15" hidden="false" customHeight="false" outlineLevel="0" collapsed="false">
      <c r="A19" s="7" t="n">
        <v>2</v>
      </c>
      <c r="B19" s="7" t="n">
        <f aca="false">COUNTIF(Weapons!$G:$G,A19)</f>
        <v>31</v>
      </c>
      <c r="C19" s="7" t="n">
        <f aca="false">SUM($B$18:B19)</f>
        <v>43</v>
      </c>
      <c r="D19" s="7" t="n">
        <f aca="false">COUNTIF(Armour!$D:$D,A19)</f>
        <v>5</v>
      </c>
      <c r="E19" s="7" t="n">
        <f aca="false">COUNTIF(Relics!$D:$D,A19)</f>
        <v>21</v>
      </c>
      <c r="F19" s="7" t="n">
        <f aca="false">COUNTIF(Consumables!$D:$D,A19)</f>
        <v>15</v>
      </c>
    </row>
    <row r="20" customFormat="false" ht="15" hidden="false" customHeight="false" outlineLevel="0" collapsed="false">
      <c r="A20" s="7" t="n">
        <v>3</v>
      </c>
      <c r="B20" s="7" t="n">
        <f aca="false">COUNTIF(Weapons!$G:$G,A20)</f>
        <v>0</v>
      </c>
      <c r="C20" s="7" t="n">
        <f aca="false">SUM($B$18:B20)</f>
        <v>43</v>
      </c>
      <c r="D20" s="7" t="n">
        <f aca="false">COUNTIF(Armour!$D:$D,A20)</f>
        <v>0</v>
      </c>
      <c r="E20" s="7" t="n">
        <f aca="false">COUNTIF(Relics!$D:$D,A20)</f>
        <v>0</v>
      </c>
      <c r="F20" s="7" t="n">
        <f aca="false">COUNTIF(Consumables!$D:$D,A20)</f>
        <v>0</v>
      </c>
    </row>
    <row r="21" customFormat="false" ht="15" hidden="false" customHeight="false" outlineLevel="0" collapsed="false">
      <c r="A21" s="7" t="n">
        <v>4</v>
      </c>
      <c r="B21" s="7" t="n">
        <f aca="false">COUNTIF(Weapons!$G:$G,A21)</f>
        <v>57</v>
      </c>
      <c r="C21" s="7" t="n">
        <f aca="false">SUM($B$18:B21)</f>
        <v>100</v>
      </c>
      <c r="D21" s="7" t="n">
        <f aca="false">COUNTIF(Armour!$D:$D,A21)</f>
        <v>7</v>
      </c>
      <c r="E21" s="7" t="n">
        <f aca="false">COUNTIF(Relics!$D:$D,A21)</f>
        <v>26</v>
      </c>
      <c r="F21" s="7" t="n">
        <f aca="false">COUNTIF(Consumables!$D:$D,A21)</f>
        <v>3</v>
      </c>
    </row>
    <row r="22" customFormat="false" ht="15" hidden="false" customHeight="false" outlineLevel="0" collapsed="false">
      <c r="A22" s="7" t="n">
        <v>5</v>
      </c>
      <c r="B22" s="7" t="n">
        <f aca="false">COUNTIF(Weapons!$G:$G,A22)</f>
        <v>0</v>
      </c>
      <c r="C22" s="7" t="n">
        <f aca="false">SUM($B$18:B22)</f>
        <v>100</v>
      </c>
      <c r="D22" s="7" t="n">
        <f aca="false">COUNTIF(Armour!$D:$D,A22)</f>
        <v>0</v>
      </c>
      <c r="E22" s="7" t="n">
        <f aca="false">COUNTIF(Relics!$D:$D,A22)</f>
        <v>0</v>
      </c>
      <c r="F22" s="7" t="n">
        <f aca="false">COUNTIF(Consumables!$D:$D,A22)</f>
        <v>0</v>
      </c>
    </row>
    <row r="23" customFormat="false" ht="15" hidden="false" customHeight="false" outlineLevel="0" collapsed="false">
      <c r="A23" s="7" t="n">
        <v>6</v>
      </c>
      <c r="B23" s="7" t="n">
        <f aca="false">COUNTIF(Weapons!$G:$G,A23)</f>
        <v>1</v>
      </c>
      <c r="C23" s="7" t="n">
        <f aca="false">SUM($B$18:B23)</f>
        <v>101</v>
      </c>
      <c r="D23" s="7" t="n">
        <f aca="false">COUNTIF(Armour!$D:$D,A23)</f>
        <v>2</v>
      </c>
      <c r="E23" s="7" t="n">
        <f aca="false">COUNTIF(Relics!$D:$D,A23)</f>
        <v>6</v>
      </c>
      <c r="F23" s="7" t="n">
        <f aca="false">COUNTIF(Consumables!$D:$D,A23)</f>
        <v>0</v>
      </c>
    </row>
    <row r="24" customFormat="false" ht="15" hidden="false" customHeight="false" outlineLevel="0" collapsed="false">
      <c r="A24" s="8" t="s">
        <v>19</v>
      </c>
      <c r="B24" s="8" t="n">
        <f aca="false">SUM(B18:B23)</f>
        <v>101</v>
      </c>
      <c r="C24" s="9"/>
      <c r="D24" s="8" t="n">
        <f aca="false">SUM(D18:D23)</f>
        <v>17</v>
      </c>
      <c r="E24" s="8" t="n">
        <f aca="false">SUM(E18:E23)</f>
        <v>53</v>
      </c>
      <c r="F24" s="8" t="n">
        <f aca="false">SUM(F18:F23)</f>
        <v>21</v>
      </c>
    </row>
    <row r="26" customFormat="false" ht="15" hidden="false" customHeight="false" outlineLevel="0" collapsed="false">
      <c r="A26" s="5" t="s">
        <v>20</v>
      </c>
    </row>
    <row r="27" customFormat="false" ht="15" hidden="false" customHeight="false" outlineLevel="0" collapsed="false">
      <c r="A27" s="10" t="s">
        <v>21</v>
      </c>
      <c r="B27" s="11" t="s">
        <v>22</v>
      </c>
      <c r="C27" s="12" t="s">
        <v>23</v>
      </c>
      <c r="D27" s="13" t="s">
        <v>24</v>
      </c>
      <c r="E27" s="14" t="s">
        <v>25</v>
      </c>
      <c r="F27" s="15" t="s">
        <v>26</v>
      </c>
    </row>
  </sheetData>
  <mergeCells count="11">
    <mergeCell ref="A4:F4"/>
    <mergeCell ref="A5:F5"/>
    <mergeCell ref="A6:F6"/>
    <mergeCell ref="A7:F7"/>
    <mergeCell ref="A8:F8"/>
    <mergeCell ref="A9:F9"/>
    <mergeCell ref="A10:F10"/>
    <mergeCell ref="A11:F11"/>
    <mergeCell ref="A12:F12"/>
    <mergeCell ref="A13:F13"/>
    <mergeCell ref="A14:F1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3"/>
    <col collapsed="false" customWidth="true" hidden="false" outlineLevel="0" max="3" min="3" style="0" width="12"/>
    <col collapsed="false" customWidth="true" hidden="false" outlineLevel="0" max="4" min="4" style="0" width="9"/>
    <col collapsed="false" customWidth="true" hidden="false" outlineLevel="0" max="5" min="5" style="0" width="15"/>
    <col collapsed="false" customWidth="true" hidden="false" outlineLevel="0" max="6" min="6" style="0" width="11"/>
    <col collapsed="false" customWidth="true" hidden="false" outlineLevel="0" max="7" min="7" style="0" width="7"/>
    <col collapsed="false" customWidth="true" hidden="false" outlineLevel="0" max="8" min="8" style="0" width="58"/>
    <col collapsed="false" customWidth="true" hidden="false" outlineLevel="0" max="9" min="9" style="0" width="28"/>
    <col collapsed="false" customWidth="true" hidden="false" outlineLevel="0" max="10" min="10" style="0" width="12"/>
    <col collapsed="false" customWidth="true" hidden="false" outlineLevel="0" max="14" min="11" style="0" width="9"/>
    <col collapsed="false" customWidth="true" hidden="false" outlineLevel="0" max="15" min="15" style="0" width="8"/>
    <col collapsed="false" customWidth="true" hidden="false" outlineLevel="0" max="16" min="16" style="0" width="9"/>
    <col collapsed="false" customWidth="true" hidden="false" outlineLevel="0" max="17" min="17" style="0" width="11"/>
  </cols>
  <sheetData>
    <row r="1" customFormat="false" ht="27.75" hidden="false" customHeight="true" outlineLevel="0" collapsed="false">
      <c r="A1" s="6" t="s">
        <v>27</v>
      </c>
      <c r="B1" s="6" t="s">
        <v>28</v>
      </c>
      <c r="C1" s="6" t="s">
        <v>29</v>
      </c>
      <c r="D1" s="6" t="s">
        <v>30</v>
      </c>
      <c r="E1" s="6" t="s">
        <v>31</v>
      </c>
      <c r="F1" s="6" t="s">
        <v>32</v>
      </c>
      <c r="G1" s="6" t="s">
        <v>13</v>
      </c>
      <c r="H1" s="6" t="s">
        <v>33</v>
      </c>
      <c r="I1" s="6" t="s">
        <v>34</v>
      </c>
      <c r="J1" s="6" t="s">
        <v>35</v>
      </c>
      <c r="K1" s="6" t="s">
        <v>36</v>
      </c>
      <c r="L1" s="6" t="s">
        <v>37</v>
      </c>
      <c r="M1" s="6" t="s">
        <v>38</v>
      </c>
      <c r="N1" s="6" t="s">
        <v>39</v>
      </c>
      <c r="O1" s="6" t="s">
        <v>40</v>
      </c>
      <c r="P1" s="6" t="s">
        <v>41</v>
      </c>
      <c r="Q1" s="6" t="s">
        <v>42</v>
      </c>
    </row>
    <row r="2" customFormat="false" ht="16.5" hidden="false" customHeight="true" outlineLevel="0" collapsed="false">
      <c r="A2" s="7" t="s">
        <v>43</v>
      </c>
      <c r="B2" s="16" t="s">
        <v>44</v>
      </c>
      <c r="C2" s="17" t="s">
        <v>45</v>
      </c>
      <c r="D2" s="7" t="str">
        <f aca="false">INDEX(Tuning!$C$5:$C$19,MATCH($C2,Tuning!$A$5:$A$19,0))</f>
        <v>Human</v>
      </c>
      <c r="E2" s="16" t="s">
        <v>46</v>
      </c>
      <c r="F2" s="7" t="s">
        <v>21</v>
      </c>
      <c r="G2" s="7" t="n">
        <v>1</v>
      </c>
      <c r="H2" s="16" t="s">
        <v>47</v>
      </c>
      <c r="I2" s="16" t="s">
        <v>48</v>
      </c>
      <c r="J2" s="16"/>
      <c r="K2" s="18" t="n">
        <v>1</v>
      </c>
      <c r="L2" s="18" t="n">
        <v>1</v>
      </c>
      <c r="M2" s="19" t="n">
        <f aca="false">ROUND(INDEX(Tuning!$D$5:$D$19,MATCH($C2,Tuning!$A$5:$A$19,0))*INDEX(Tuning!$B$24:$B$29,MATCH($F2,Tuning!$A$24:$A$29,0))*K2,1)</f>
        <v>14</v>
      </c>
      <c r="N2" s="20" t="n">
        <f aca="false">ROUND(INDEX(Tuning!$E$5:$E$19,MATCH($C2,Tuning!$A$5:$A$19,0))*L2,2)</f>
        <v>1.6</v>
      </c>
      <c r="O2" s="19" t="n">
        <f aca="false">ROUND(M2*N2,1)</f>
        <v>22.4</v>
      </c>
      <c r="P2" s="7" t="n">
        <f aca="false">INDEX(Tuning!$G$5:$G$19,MATCH($C2,Tuning!$A$5:$A$19,0))</f>
        <v>70</v>
      </c>
      <c r="Q2" s="16" t="s">
        <v>49</v>
      </c>
    </row>
    <row r="3" customFormat="false" ht="16.5" hidden="false" customHeight="true" outlineLevel="0" collapsed="false">
      <c r="A3" s="7" t="s">
        <v>50</v>
      </c>
      <c r="B3" s="16" t="s">
        <v>51</v>
      </c>
      <c r="C3" s="17" t="s">
        <v>45</v>
      </c>
      <c r="D3" s="7" t="str">
        <f aca="false">INDEX(Tuning!$C$5:$C$19,MATCH($C3,Tuning!$A$5:$A$19,0))</f>
        <v>Human</v>
      </c>
      <c r="E3" s="16" t="s">
        <v>46</v>
      </c>
      <c r="F3" s="7" t="s">
        <v>22</v>
      </c>
      <c r="G3" s="7" t="n">
        <v>1</v>
      </c>
      <c r="H3" s="16" t="s">
        <v>52</v>
      </c>
      <c r="I3" s="16" t="s">
        <v>53</v>
      </c>
      <c r="J3" s="16"/>
      <c r="K3" s="18" t="n">
        <v>1</v>
      </c>
      <c r="L3" s="18" t="n">
        <v>1</v>
      </c>
      <c r="M3" s="19" t="n">
        <f aca="false">ROUND(INDEX(Tuning!$D$5:$D$19,MATCH($C3,Tuning!$A$5:$A$19,0))*INDEX(Tuning!$B$24:$B$29,MATCH($F3,Tuning!$A$24:$A$29,0))*K3,1)</f>
        <v>14.8</v>
      </c>
      <c r="N3" s="20" t="n">
        <f aca="false">ROUND(INDEX(Tuning!$E$5:$E$19,MATCH($C3,Tuning!$A$5:$A$19,0))*L3,2)</f>
        <v>1.6</v>
      </c>
      <c r="O3" s="19" t="n">
        <f aca="false">ROUND(M3*N3,1)</f>
        <v>23.7</v>
      </c>
      <c r="P3" s="7" t="n">
        <f aca="false">INDEX(Tuning!$G$5:$G$19,MATCH($C3,Tuning!$A$5:$A$19,0))</f>
        <v>70</v>
      </c>
      <c r="Q3" s="16" t="s">
        <v>54</v>
      </c>
    </row>
    <row r="4" customFormat="false" ht="30" hidden="false" customHeight="true" outlineLevel="0" collapsed="false">
      <c r="A4" s="7" t="s">
        <v>55</v>
      </c>
      <c r="B4" s="16" t="s">
        <v>56</v>
      </c>
      <c r="C4" s="17" t="s">
        <v>45</v>
      </c>
      <c r="D4" s="7" t="str">
        <f aca="false">INDEX(Tuning!$C$5:$C$19,MATCH($C4,Tuning!$A$5:$A$19,0))</f>
        <v>Human</v>
      </c>
      <c r="E4" s="16" t="s">
        <v>46</v>
      </c>
      <c r="F4" s="7" t="s">
        <v>23</v>
      </c>
      <c r="G4" s="7" t="n">
        <v>1</v>
      </c>
      <c r="H4" s="16" t="s">
        <v>57</v>
      </c>
      <c r="I4" s="16" t="s">
        <v>58</v>
      </c>
      <c r="J4" s="16"/>
      <c r="K4" s="18" t="n">
        <v>1</v>
      </c>
      <c r="L4" s="18" t="n">
        <v>1</v>
      </c>
      <c r="M4" s="19" t="n">
        <f aca="false">ROUND(INDEX(Tuning!$D$5:$D$19,MATCH($C4,Tuning!$A$5:$A$19,0))*INDEX(Tuning!$B$24:$B$29,MATCH($F4,Tuning!$A$24:$A$29,0))*K4,1)</f>
        <v>15.7</v>
      </c>
      <c r="N4" s="20" t="n">
        <f aca="false">ROUND(INDEX(Tuning!$E$5:$E$19,MATCH($C4,Tuning!$A$5:$A$19,0))*L4,2)</f>
        <v>1.6</v>
      </c>
      <c r="O4" s="19" t="n">
        <f aca="false">ROUND(M4*N4,1)</f>
        <v>25.1</v>
      </c>
      <c r="P4" s="7" t="n">
        <f aca="false">INDEX(Tuning!$G$5:$G$19,MATCH($C4,Tuning!$A$5:$A$19,0))</f>
        <v>70</v>
      </c>
      <c r="Q4" s="16" t="s">
        <v>59</v>
      </c>
    </row>
    <row r="5" customFormat="false" ht="16.5" hidden="false" customHeight="true" outlineLevel="0" collapsed="false">
      <c r="A5" s="7" t="s">
        <v>60</v>
      </c>
      <c r="B5" s="16" t="s">
        <v>61</v>
      </c>
      <c r="C5" s="17" t="s">
        <v>62</v>
      </c>
      <c r="D5" s="7" t="str">
        <f aca="false">INDEX(Tuning!$C$5:$C$19,MATCH($C5,Tuning!$A$5:$A$19,0))</f>
        <v>Demon</v>
      </c>
      <c r="E5" s="16" t="s">
        <v>46</v>
      </c>
      <c r="F5" s="7" t="s">
        <v>21</v>
      </c>
      <c r="G5" s="7" t="n">
        <v>1</v>
      </c>
      <c r="H5" s="16" t="s">
        <v>63</v>
      </c>
      <c r="I5" s="16" t="s">
        <v>64</v>
      </c>
      <c r="J5" s="16"/>
      <c r="K5" s="18" t="n">
        <v>1</v>
      </c>
      <c r="L5" s="18" t="n">
        <v>1</v>
      </c>
      <c r="M5" s="19" t="n">
        <f aca="false">ROUND(INDEX(Tuning!$D$5:$D$19,MATCH($C5,Tuning!$A$5:$A$19,0))*INDEX(Tuning!$B$24:$B$29,MATCH($F5,Tuning!$A$24:$A$29,0))*K5,1)</f>
        <v>26</v>
      </c>
      <c r="N5" s="20" t="n">
        <f aca="false">ROUND(INDEX(Tuning!$E$5:$E$19,MATCH($C5,Tuning!$A$5:$A$19,0))*L5,2)</f>
        <v>0.8</v>
      </c>
      <c r="O5" s="19" t="n">
        <f aca="false">ROUND(M5*N5,1)</f>
        <v>20.8</v>
      </c>
      <c r="P5" s="7" t="n">
        <f aca="false">INDEX(Tuning!$G$5:$G$19,MATCH($C5,Tuning!$A$5:$A$19,0))</f>
        <v>95</v>
      </c>
      <c r="Q5" s="16" t="s">
        <v>49</v>
      </c>
    </row>
    <row r="6" customFormat="false" ht="16.5" hidden="false" customHeight="true" outlineLevel="0" collapsed="false">
      <c r="A6" s="7" t="s">
        <v>65</v>
      </c>
      <c r="B6" s="16" t="s">
        <v>66</v>
      </c>
      <c r="C6" s="17" t="s">
        <v>62</v>
      </c>
      <c r="D6" s="7" t="str">
        <f aca="false">INDEX(Tuning!$C$5:$C$19,MATCH($C6,Tuning!$A$5:$A$19,0))</f>
        <v>Demon</v>
      </c>
      <c r="E6" s="16" t="s">
        <v>46</v>
      </c>
      <c r="F6" s="7" t="s">
        <v>22</v>
      </c>
      <c r="G6" s="7" t="n">
        <v>1</v>
      </c>
      <c r="H6" s="16" t="s">
        <v>67</v>
      </c>
      <c r="I6" s="16" t="s">
        <v>53</v>
      </c>
      <c r="J6" s="16"/>
      <c r="K6" s="18" t="n">
        <v>1</v>
      </c>
      <c r="L6" s="18" t="n">
        <v>1</v>
      </c>
      <c r="M6" s="19" t="n">
        <f aca="false">ROUND(INDEX(Tuning!$D$5:$D$19,MATCH($C6,Tuning!$A$5:$A$19,0))*INDEX(Tuning!$B$24:$B$29,MATCH($F6,Tuning!$A$24:$A$29,0))*K6,1)</f>
        <v>27.6</v>
      </c>
      <c r="N6" s="20" t="n">
        <f aca="false">ROUND(INDEX(Tuning!$E$5:$E$19,MATCH($C6,Tuning!$A$5:$A$19,0))*L6,2)</f>
        <v>0.8</v>
      </c>
      <c r="O6" s="19" t="n">
        <f aca="false">ROUND(M6*N6,1)</f>
        <v>22.1</v>
      </c>
      <c r="P6" s="7" t="n">
        <f aca="false">INDEX(Tuning!$G$5:$G$19,MATCH($C6,Tuning!$A$5:$A$19,0))</f>
        <v>95</v>
      </c>
      <c r="Q6" s="16" t="s">
        <v>68</v>
      </c>
    </row>
    <row r="7" customFormat="false" ht="30" hidden="false" customHeight="true" outlineLevel="0" collapsed="false">
      <c r="A7" s="7" t="s">
        <v>69</v>
      </c>
      <c r="B7" s="16" t="s">
        <v>70</v>
      </c>
      <c r="C7" s="17" t="s">
        <v>62</v>
      </c>
      <c r="D7" s="7" t="str">
        <f aca="false">INDEX(Tuning!$C$5:$C$19,MATCH($C7,Tuning!$A$5:$A$19,0))</f>
        <v>Demon</v>
      </c>
      <c r="E7" s="16" t="s">
        <v>46</v>
      </c>
      <c r="F7" s="7" t="s">
        <v>23</v>
      </c>
      <c r="G7" s="7" t="n">
        <v>1</v>
      </c>
      <c r="H7" s="16" t="s">
        <v>71</v>
      </c>
      <c r="I7" s="16" t="s">
        <v>72</v>
      </c>
      <c r="J7" s="16"/>
      <c r="K7" s="18" t="n">
        <v>1</v>
      </c>
      <c r="L7" s="18" t="n">
        <v>1</v>
      </c>
      <c r="M7" s="19" t="n">
        <f aca="false">ROUND(INDEX(Tuning!$D$5:$D$19,MATCH($C7,Tuning!$A$5:$A$19,0))*INDEX(Tuning!$B$24:$B$29,MATCH($F7,Tuning!$A$24:$A$29,0))*K7,1)</f>
        <v>29.1</v>
      </c>
      <c r="N7" s="20" t="n">
        <f aca="false">ROUND(INDEX(Tuning!$E$5:$E$19,MATCH($C7,Tuning!$A$5:$A$19,0))*L7,2)</f>
        <v>0.8</v>
      </c>
      <c r="O7" s="19" t="n">
        <f aca="false">ROUND(M7*N7,1)</f>
        <v>23.3</v>
      </c>
      <c r="P7" s="7" t="n">
        <f aca="false">INDEX(Tuning!$G$5:$G$19,MATCH($C7,Tuning!$A$5:$A$19,0))</f>
        <v>95</v>
      </c>
      <c r="Q7" s="16" t="s">
        <v>73</v>
      </c>
    </row>
    <row r="8" customFormat="false" ht="16.5" hidden="false" customHeight="true" outlineLevel="0" collapsed="false">
      <c r="A8" s="7" t="s">
        <v>74</v>
      </c>
      <c r="B8" s="16" t="s">
        <v>75</v>
      </c>
      <c r="C8" s="17" t="s">
        <v>76</v>
      </c>
      <c r="D8" s="7" t="str">
        <f aca="false">INDEX(Tuning!$C$5:$C$19,MATCH($C8,Tuning!$A$5:$A$19,0))</f>
        <v>God</v>
      </c>
      <c r="E8" s="16" t="s">
        <v>77</v>
      </c>
      <c r="F8" s="7" t="s">
        <v>21</v>
      </c>
      <c r="G8" s="7" t="n">
        <v>1</v>
      </c>
      <c r="H8" s="16" t="s">
        <v>78</v>
      </c>
      <c r="I8" s="16" t="s">
        <v>79</v>
      </c>
      <c r="J8" s="16"/>
      <c r="K8" s="18" t="n">
        <v>1</v>
      </c>
      <c r="L8" s="18" t="n">
        <v>1</v>
      </c>
      <c r="M8" s="19" t="n">
        <f aca="false">ROUND(INDEX(Tuning!$D$5:$D$19,MATCH($C8,Tuning!$A$5:$A$19,0))*INDEX(Tuning!$B$24:$B$29,MATCH($F8,Tuning!$A$24:$A$29,0))*K8,1)</f>
        <v>11</v>
      </c>
      <c r="N8" s="20" t="n">
        <f aca="false">ROUND(INDEX(Tuning!$E$5:$E$19,MATCH($C8,Tuning!$A$5:$A$19,0))*L8,2)</f>
        <v>1.8</v>
      </c>
      <c r="O8" s="19" t="n">
        <f aca="false">ROUND(M8*N8,1)</f>
        <v>19.8</v>
      </c>
      <c r="P8" s="7" t="n">
        <f aca="false">INDEX(Tuning!$G$5:$G$19,MATCH($C8,Tuning!$A$5:$A$19,0))</f>
        <v>380</v>
      </c>
      <c r="Q8" s="16" t="s">
        <v>49</v>
      </c>
    </row>
    <row r="9" customFormat="false" ht="30" hidden="false" customHeight="true" outlineLevel="0" collapsed="false">
      <c r="A9" s="7" t="s">
        <v>80</v>
      </c>
      <c r="B9" s="16" t="s">
        <v>81</v>
      </c>
      <c r="C9" s="17" t="s">
        <v>76</v>
      </c>
      <c r="D9" s="7" t="str">
        <f aca="false">INDEX(Tuning!$C$5:$C$19,MATCH($C9,Tuning!$A$5:$A$19,0))</f>
        <v>God</v>
      </c>
      <c r="E9" s="16" t="s">
        <v>82</v>
      </c>
      <c r="F9" s="7" t="s">
        <v>22</v>
      </c>
      <c r="G9" s="7" t="n">
        <v>1</v>
      </c>
      <c r="H9" s="16" t="s">
        <v>83</v>
      </c>
      <c r="I9" s="16" t="s">
        <v>53</v>
      </c>
      <c r="J9" s="16"/>
      <c r="K9" s="18" t="n">
        <v>1</v>
      </c>
      <c r="L9" s="18" t="n">
        <v>1</v>
      </c>
      <c r="M9" s="19" t="n">
        <f aca="false">ROUND(INDEX(Tuning!$D$5:$D$19,MATCH($C9,Tuning!$A$5:$A$19,0))*INDEX(Tuning!$B$24:$B$29,MATCH($F9,Tuning!$A$24:$A$29,0))*K9,1)</f>
        <v>11.7</v>
      </c>
      <c r="N9" s="20" t="n">
        <f aca="false">ROUND(INDEX(Tuning!$E$5:$E$19,MATCH($C9,Tuning!$A$5:$A$19,0))*L9,2)</f>
        <v>1.8</v>
      </c>
      <c r="O9" s="19" t="n">
        <f aca="false">ROUND(M9*N9,1)</f>
        <v>21.1</v>
      </c>
      <c r="P9" s="7" t="n">
        <f aca="false">INDEX(Tuning!$G$5:$G$19,MATCH($C9,Tuning!$A$5:$A$19,0))</f>
        <v>380</v>
      </c>
      <c r="Q9" s="16" t="s">
        <v>84</v>
      </c>
    </row>
    <row r="10" customFormat="false" ht="30" hidden="false" customHeight="true" outlineLevel="0" collapsed="false">
      <c r="A10" s="7" t="s">
        <v>85</v>
      </c>
      <c r="B10" s="16" t="s">
        <v>86</v>
      </c>
      <c r="C10" s="17" t="s">
        <v>76</v>
      </c>
      <c r="D10" s="7" t="str">
        <f aca="false">INDEX(Tuning!$C$5:$C$19,MATCH($C10,Tuning!$A$5:$A$19,0))</f>
        <v>God</v>
      </c>
      <c r="E10" s="16" t="s">
        <v>77</v>
      </c>
      <c r="F10" s="7" t="s">
        <v>23</v>
      </c>
      <c r="G10" s="7" t="n">
        <v>1</v>
      </c>
      <c r="H10" s="16" t="s">
        <v>87</v>
      </c>
      <c r="I10" s="16" t="s">
        <v>58</v>
      </c>
      <c r="J10" s="16"/>
      <c r="K10" s="18" t="n">
        <v>1</v>
      </c>
      <c r="L10" s="18" t="n">
        <v>1</v>
      </c>
      <c r="M10" s="19" t="n">
        <f aca="false">ROUND(INDEX(Tuning!$D$5:$D$19,MATCH($C10,Tuning!$A$5:$A$19,0))*INDEX(Tuning!$B$24:$B$29,MATCH($F10,Tuning!$A$24:$A$29,0))*K10,1)</f>
        <v>12.3</v>
      </c>
      <c r="N10" s="20" t="n">
        <f aca="false">ROUND(INDEX(Tuning!$E$5:$E$19,MATCH($C10,Tuning!$A$5:$A$19,0))*L10,2)</f>
        <v>1.8</v>
      </c>
      <c r="O10" s="19" t="n">
        <f aca="false">ROUND(M10*N10,1)</f>
        <v>22.1</v>
      </c>
      <c r="P10" s="7" t="n">
        <f aca="false">INDEX(Tuning!$G$5:$G$19,MATCH($C10,Tuning!$A$5:$A$19,0))</f>
        <v>380</v>
      </c>
      <c r="Q10" s="16" t="s">
        <v>88</v>
      </c>
    </row>
    <row r="11" customFormat="false" ht="30" hidden="false" customHeight="true" outlineLevel="0" collapsed="false">
      <c r="A11" s="7" t="s">
        <v>89</v>
      </c>
      <c r="B11" s="16" t="s">
        <v>90</v>
      </c>
      <c r="C11" s="17" t="s">
        <v>91</v>
      </c>
      <c r="D11" s="7" t="str">
        <f aca="false">INDEX(Tuning!$C$5:$C$19,MATCH($C11,Tuning!$A$5:$A$19,0))</f>
        <v>Alien</v>
      </c>
      <c r="E11" s="16" t="s">
        <v>46</v>
      </c>
      <c r="F11" s="7" t="s">
        <v>21</v>
      </c>
      <c r="G11" s="7" t="n">
        <v>1</v>
      </c>
      <c r="H11" s="16" t="s">
        <v>92</v>
      </c>
      <c r="I11" s="16" t="s">
        <v>93</v>
      </c>
      <c r="J11" s="16"/>
      <c r="K11" s="18" t="n">
        <v>1</v>
      </c>
      <c r="L11" s="18" t="n">
        <v>1</v>
      </c>
      <c r="M11" s="19" t="n">
        <f aca="false">ROUND(INDEX(Tuning!$D$5:$D$19,MATCH($C11,Tuning!$A$5:$A$19,0))*INDEX(Tuning!$B$24:$B$29,MATCH($F11,Tuning!$A$24:$A$29,0))*K11,1)</f>
        <v>4</v>
      </c>
      <c r="N11" s="20" t="n">
        <f aca="false">ROUND(INDEX(Tuning!$E$5:$E$19,MATCH($C11,Tuning!$A$5:$A$19,0))*L11,2)</f>
        <v>10</v>
      </c>
      <c r="O11" s="19" t="n">
        <f aca="false">ROUND(M11*N11,1)</f>
        <v>40</v>
      </c>
      <c r="P11" s="7" t="n">
        <f aca="false">INDEX(Tuning!$G$5:$G$19,MATCH($C11,Tuning!$A$5:$A$19,0))</f>
        <v>350</v>
      </c>
      <c r="Q11" s="16" t="s">
        <v>49</v>
      </c>
    </row>
    <row r="12" customFormat="false" ht="30" hidden="false" customHeight="true" outlineLevel="0" collapsed="false">
      <c r="A12" s="7" t="s">
        <v>94</v>
      </c>
      <c r="B12" s="16" t="s">
        <v>95</v>
      </c>
      <c r="C12" s="17" t="s">
        <v>91</v>
      </c>
      <c r="D12" s="7" t="str">
        <f aca="false">INDEX(Tuning!$C$5:$C$19,MATCH($C12,Tuning!$A$5:$A$19,0))</f>
        <v>Alien</v>
      </c>
      <c r="E12" s="16" t="s">
        <v>46</v>
      </c>
      <c r="F12" s="7" t="s">
        <v>22</v>
      </c>
      <c r="G12" s="7" t="n">
        <v>1</v>
      </c>
      <c r="H12" s="16" t="s">
        <v>96</v>
      </c>
      <c r="I12" s="16" t="s">
        <v>53</v>
      </c>
      <c r="J12" s="16"/>
      <c r="K12" s="18" t="n">
        <v>1</v>
      </c>
      <c r="L12" s="18" t="n">
        <v>1</v>
      </c>
      <c r="M12" s="19" t="n">
        <f aca="false">ROUND(INDEX(Tuning!$D$5:$D$19,MATCH($C12,Tuning!$A$5:$A$19,0))*INDEX(Tuning!$B$24:$B$29,MATCH($F12,Tuning!$A$24:$A$29,0))*K12,1)</f>
        <v>4.2</v>
      </c>
      <c r="N12" s="20" t="n">
        <f aca="false">ROUND(INDEX(Tuning!$E$5:$E$19,MATCH($C12,Tuning!$A$5:$A$19,0))*L12,2)</f>
        <v>10</v>
      </c>
      <c r="O12" s="19" t="n">
        <f aca="false">ROUND(M12*N12,1)</f>
        <v>42</v>
      </c>
      <c r="P12" s="7" t="n">
        <f aca="false">INDEX(Tuning!$G$5:$G$19,MATCH($C12,Tuning!$A$5:$A$19,0))</f>
        <v>350</v>
      </c>
      <c r="Q12" s="16" t="s">
        <v>97</v>
      </c>
    </row>
    <row r="13" customFormat="false" ht="16.5" hidden="false" customHeight="true" outlineLevel="0" collapsed="false">
      <c r="A13" s="7" t="s">
        <v>98</v>
      </c>
      <c r="B13" s="16" t="s">
        <v>99</v>
      </c>
      <c r="C13" s="17" t="s">
        <v>91</v>
      </c>
      <c r="D13" s="7" t="str">
        <f aca="false">INDEX(Tuning!$C$5:$C$19,MATCH($C13,Tuning!$A$5:$A$19,0))</f>
        <v>Alien</v>
      </c>
      <c r="E13" s="16" t="s">
        <v>82</v>
      </c>
      <c r="F13" s="7" t="s">
        <v>23</v>
      </c>
      <c r="G13" s="7" t="n">
        <v>1</v>
      </c>
      <c r="H13" s="16" t="s">
        <v>100</v>
      </c>
      <c r="I13" s="16" t="s">
        <v>58</v>
      </c>
      <c r="J13" s="16"/>
      <c r="K13" s="18" t="n">
        <v>1</v>
      </c>
      <c r="L13" s="18" t="n">
        <v>1</v>
      </c>
      <c r="M13" s="19" t="n">
        <f aca="false">ROUND(INDEX(Tuning!$D$5:$D$19,MATCH($C13,Tuning!$A$5:$A$19,0))*INDEX(Tuning!$B$24:$B$29,MATCH($F13,Tuning!$A$24:$A$29,0))*K13,1)</f>
        <v>4.5</v>
      </c>
      <c r="N13" s="20" t="n">
        <f aca="false">ROUND(INDEX(Tuning!$E$5:$E$19,MATCH($C13,Tuning!$A$5:$A$19,0))*L13,2)</f>
        <v>10</v>
      </c>
      <c r="O13" s="19" t="n">
        <f aca="false">ROUND(M13*N13,1)</f>
        <v>45</v>
      </c>
      <c r="P13" s="7" t="n">
        <f aca="false">INDEX(Tuning!$G$5:$G$19,MATCH($C13,Tuning!$A$5:$A$19,0))</f>
        <v>350</v>
      </c>
      <c r="Q13" s="16" t="s">
        <v>101</v>
      </c>
    </row>
    <row r="14" customFormat="false" ht="30" hidden="false" customHeight="true" outlineLevel="0" collapsed="false">
      <c r="A14" s="7" t="s">
        <v>102</v>
      </c>
      <c r="B14" s="16" t="s">
        <v>103</v>
      </c>
      <c r="C14" s="17" t="s">
        <v>104</v>
      </c>
      <c r="D14" s="7" t="str">
        <f aca="false">INDEX(Tuning!$C$5:$C$19,MATCH($C14,Tuning!$A$5:$A$19,0))</f>
        <v>Human</v>
      </c>
      <c r="E14" s="16" t="s">
        <v>46</v>
      </c>
      <c r="F14" s="7" t="s">
        <v>21</v>
      </c>
      <c r="G14" s="7" t="n">
        <v>2</v>
      </c>
      <c r="H14" s="16" t="s">
        <v>105</v>
      </c>
      <c r="I14" s="16" t="s">
        <v>106</v>
      </c>
      <c r="J14" s="16"/>
      <c r="K14" s="18" t="n">
        <v>1</v>
      </c>
      <c r="L14" s="18" t="n">
        <v>1</v>
      </c>
      <c r="M14" s="19" t="n">
        <f aca="false">ROUND(INDEX(Tuning!$D$5:$D$19,MATCH($C14,Tuning!$A$5:$A$19,0))*INDEX(Tuning!$B$24:$B$29,MATCH($F14,Tuning!$A$24:$A$29,0))*K14,1)</f>
        <v>8</v>
      </c>
      <c r="N14" s="20" t="n">
        <f aca="false">ROUND(INDEX(Tuning!$E$5:$E$19,MATCH($C14,Tuning!$A$5:$A$19,0))*L14,2)</f>
        <v>3</v>
      </c>
      <c r="O14" s="19" t="n">
        <f aca="false">ROUND(M14*N14,1)</f>
        <v>24</v>
      </c>
      <c r="P14" s="7" t="n">
        <f aca="false">INDEX(Tuning!$G$5:$G$19,MATCH($C14,Tuning!$A$5:$A$19,0))</f>
        <v>420</v>
      </c>
      <c r="Q14" s="16" t="s">
        <v>107</v>
      </c>
    </row>
    <row r="15" customFormat="false" ht="30" hidden="false" customHeight="true" outlineLevel="0" collapsed="false">
      <c r="A15" s="7" t="s">
        <v>108</v>
      </c>
      <c r="B15" s="16" t="s">
        <v>109</v>
      </c>
      <c r="C15" s="17" t="s">
        <v>104</v>
      </c>
      <c r="D15" s="7" t="str">
        <f aca="false">INDEX(Tuning!$C$5:$C$19,MATCH($C15,Tuning!$A$5:$A$19,0))</f>
        <v>Human</v>
      </c>
      <c r="E15" s="16" t="s">
        <v>46</v>
      </c>
      <c r="F15" s="7" t="s">
        <v>22</v>
      </c>
      <c r="G15" s="7" t="n">
        <v>2</v>
      </c>
      <c r="H15" s="16" t="s">
        <v>110</v>
      </c>
      <c r="I15" s="16" t="s">
        <v>111</v>
      </c>
      <c r="J15" s="16"/>
      <c r="K15" s="18" t="n">
        <v>1</v>
      </c>
      <c r="L15" s="18" t="n">
        <v>1</v>
      </c>
      <c r="M15" s="19" t="n">
        <f aca="false">ROUND(INDEX(Tuning!$D$5:$D$19,MATCH($C15,Tuning!$A$5:$A$19,0))*INDEX(Tuning!$B$24:$B$29,MATCH($F15,Tuning!$A$24:$A$29,0))*K15,1)</f>
        <v>8.5</v>
      </c>
      <c r="N15" s="20" t="n">
        <f aca="false">ROUND(INDEX(Tuning!$E$5:$E$19,MATCH($C15,Tuning!$A$5:$A$19,0))*L15,2)</f>
        <v>3</v>
      </c>
      <c r="O15" s="19" t="n">
        <f aca="false">ROUND(M15*N15,1)</f>
        <v>25.5</v>
      </c>
      <c r="P15" s="7" t="n">
        <f aca="false">INDEX(Tuning!$G$5:$G$19,MATCH($C15,Tuning!$A$5:$A$19,0))</f>
        <v>420</v>
      </c>
      <c r="Q15" s="16" t="s">
        <v>112</v>
      </c>
    </row>
    <row r="16" customFormat="false" ht="30" hidden="false" customHeight="true" outlineLevel="0" collapsed="false">
      <c r="A16" s="7" t="s">
        <v>113</v>
      </c>
      <c r="B16" s="16" t="s">
        <v>114</v>
      </c>
      <c r="C16" s="17" t="s">
        <v>104</v>
      </c>
      <c r="D16" s="7" t="str">
        <f aca="false">INDEX(Tuning!$C$5:$C$19,MATCH($C16,Tuning!$A$5:$A$19,0))</f>
        <v>Human</v>
      </c>
      <c r="E16" s="16" t="s">
        <v>46</v>
      </c>
      <c r="F16" s="7" t="s">
        <v>23</v>
      </c>
      <c r="G16" s="7" t="n">
        <v>2</v>
      </c>
      <c r="H16" s="16" t="s">
        <v>115</v>
      </c>
      <c r="I16" s="16" t="s">
        <v>116</v>
      </c>
      <c r="J16" s="16"/>
      <c r="K16" s="18" t="n">
        <v>1</v>
      </c>
      <c r="L16" s="18" t="n">
        <v>1</v>
      </c>
      <c r="M16" s="19" t="n">
        <f aca="false">ROUND(INDEX(Tuning!$D$5:$D$19,MATCH($C16,Tuning!$A$5:$A$19,0))*INDEX(Tuning!$B$24:$B$29,MATCH($F16,Tuning!$A$24:$A$29,0))*K16,1)</f>
        <v>9</v>
      </c>
      <c r="N16" s="20" t="n">
        <f aca="false">ROUND(INDEX(Tuning!$E$5:$E$19,MATCH($C16,Tuning!$A$5:$A$19,0))*L16,2)</f>
        <v>3</v>
      </c>
      <c r="O16" s="19" t="n">
        <f aca="false">ROUND(M16*N16,1)</f>
        <v>27</v>
      </c>
      <c r="P16" s="7" t="n">
        <f aca="false">INDEX(Tuning!$G$5:$G$19,MATCH($C16,Tuning!$A$5:$A$19,0))</f>
        <v>420</v>
      </c>
      <c r="Q16" s="16" t="s">
        <v>117</v>
      </c>
    </row>
    <row r="17" customFormat="false" ht="30" hidden="false" customHeight="true" outlineLevel="0" collapsed="false">
      <c r="A17" s="7" t="s">
        <v>118</v>
      </c>
      <c r="B17" s="16" t="s">
        <v>119</v>
      </c>
      <c r="C17" s="17" t="s">
        <v>104</v>
      </c>
      <c r="D17" s="7" t="str">
        <f aca="false">INDEX(Tuning!$C$5:$C$19,MATCH($C17,Tuning!$A$5:$A$19,0))</f>
        <v>Human</v>
      </c>
      <c r="E17" s="16" t="s">
        <v>46</v>
      </c>
      <c r="F17" s="7" t="s">
        <v>23</v>
      </c>
      <c r="G17" s="7" t="n">
        <v>2</v>
      </c>
      <c r="H17" s="16" t="s">
        <v>120</v>
      </c>
      <c r="I17" s="16" t="s">
        <v>116</v>
      </c>
      <c r="J17" s="16"/>
      <c r="K17" s="18" t="n">
        <v>1</v>
      </c>
      <c r="L17" s="18" t="n">
        <v>1</v>
      </c>
      <c r="M17" s="19" t="n">
        <f aca="false">ROUND(INDEX(Tuning!$D$5:$D$19,MATCH($C17,Tuning!$A$5:$A$19,0))*INDEX(Tuning!$B$24:$B$29,MATCH($F17,Tuning!$A$24:$A$29,0))*K17,1)</f>
        <v>9</v>
      </c>
      <c r="N17" s="20" t="n">
        <f aca="false">ROUND(INDEX(Tuning!$E$5:$E$19,MATCH($C17,Tuning!$A$5:$A$19,0))*L17,2)</f>
        <v>3</v>
      </c>
      <c r="O17" s="19" t="n">
        <f aca="false">ROUND(M17*N17,1)</f>
        <v>27</v>
      </c>
      <c r="P17" s="7" t="n">
        <f aca="false">INDEX(Tuning!$G$5:$G$19,MATCH($C17,Tuning!$A$5:$A$19,0))</f>
        <v>420</v>
      </c>
      <c r="Q17" s="16" t="s">
        <v>121</v>
      </c>
    </row>
    <row r="18" customFormat="false" ht="30" hidden="false" customHeight="true" outlineLevel="0" collapsed="false">
      <c r="A18" s="7" t="s">
        <v>122</v>
      </c>
      <c r="B18" s="16" t="s">
        <v>123</v>
      </c>
      <c r="C18" s="17" t="s">
        <v>104</v>
      </c>
      <c r="D18" s="7" t="str">
        <f aca="false">INDEX(Tuning!$C$5:$C$19,MATCH($C18,Tuning!$A$5:$A$19,0))</f>
        <v>Human</v>
      </c>
      <c r="E18" s="16" t="s">
        <v>77</v>
      </c>
      <c r="F18" s="7" t="s">
        <v>24</v>
      </c>
      <c r="G18" s="7" t="n">
        <v>2</v>
      </c>
      <c r="H18" s="16" t="s">
        <v>124</v>
      </c>
      <c r="I18" s="16" t="s">
        <v>125</v>
      </c>
      <c r="J18" s="16"/>
      <c r="K18" s="18" t="n">
        <v>1</v>
      </c>
      <c r="L18" s="18" t="n">
        <v>1</v>
      </c>
      <c r="M18" s="19" t="n">
        <f aca="false">ROUND(INDEX(Tuning!$D$5:$D$19,MATCH($C18,Tuning!$A$5:$A$19,0))*INDEX(Tuning!$B$24:$B$29,MATCH($F18,Tuning!$A$24:$A$29,0))*K18,1)</f>
        <v>9.6</v>
      </c>
      <c r="N18" s="20" t="n">
        <f aca="false">ROUND(INDEX(Tuning!$E$5:$E$19,MATCH($C18,Tuning!$A$5:$A$19,0))*L18,2)</f>
        <v>3</v>
      </c>
      <c r="O18" s="19" t="n">
        <f aca="false">ROUND(M18*N18,1)</f>
        <v>28.8</v>
      </c>
      <c r="P18" s="7" t="n">
        <f aca="false">INDEX(Tuning!$G$5:$G$19,MATCH($C18,Tuning!$A$5:$A$19,0))</f>
        <v>420</v>
      </c>
      <c r="Q18" s="16" t="s">
        <v>126</v>
      </c>
    </row>
    <row r="19" customFormat="false" ht="16.5" hidden="false" customHeight="true" outlineLevel="0" collapsed="false">
      <c r="A19" s="7" t="s">
        <v>127</v>
      </c>
      <c r="B19" s="16" t="s">
        <v>128</v>
      </c>
      <c r="C19" s="17" t="s">
        <v>129</v>
      </c>
      <c r="D19" s="7" t="str">
        <f aca="false">INDEX(Tuning!$C$5:$C$19,MATCH($C19,Tuning!$A$5:$A$19,0))</f>
        <v>Demon</v>
      </c>
      <c r="E19" s="16" t="s">
        <v>82</v>
      </c>
      <c r="F19" s="7" t="s">
        <v>21</v>
      </c>
      <c r="G19" s="7" t="n">
        <v>2</v>
      </c>
      <c r="H19" s="16" t="s">
        <v>130</v>
      </c>
      <c r="I19" s="16" t="s">
        <v>131</v>
      </c>
      <c r="J19" s="16"/>
      <c r="K19" s="18" t="n">
        <v>1</v>
      </c>
      <c r="L19" s="18" t="n">
        <v>1</v>
      </c>
      <c r="M19" s="19" t="n">
        <f aca="false">ROUND(INDEX(Tuning!$D$5:$D$19,MATCH($C19,Tuning!$A$5:$A$19,0))*INDEX(Tuning!$B$24:$B$29,MATCH($F19,Tuning!$A$24:$A$29,0))*K19,1)</f>
        <v>18</v>
      </c>
      <c r="N19" s="20" t="n">
        <f aca="false">ROUND(INDEX(Tuning!$E$5:$E$19,MATCH($C19,Tuning!$A$5:$A$19,0))*L19,2)</f>
        <v>1</v>
      </c>
      <c r="O19" s="19" t="n">
        <f aca="false">ROUND(M19*N19,1)</f>
        <v>18</v>
      </c>
      <c r="P19" s="7" t="n">
        <f aca="false">INDEX(Tuning!$G$5:$G$19,MATCH($C19,Tuning!$A$5:$A$19,0))</f>
        <v>90</v>
      </c>
      <c r="Q19" s="16" t="s">
        <v>49</v>
      </c>
    </row>
    <row r="20" customFormat="false" ht="16.5" hidden="false" customHeight="true" outlineLevel="0" collapsed="false">
      <c r="A20" s="7" t="s">
        <v>132</v>
      </c>
      <c r="B20" s="16" t="s">
        <v>133</v>
      </c>
      <c r="C20" s="17" t="s">
        <v>129</v>
      </c>
      <c r="D20" s="7" t="str">
        <f aca="false">INDEX(Tuning!$C$5:$C$19,MATCH($C20,Tuning!$A$5:$A$19,0))</f>
        <v>Demon</v>
      </c>
      <c r="E20" s="16" t="s">
        <v>82</v>
      </c>
      <c r="F20" s="7" t="s">
        <v>22</v>
      </c>
      <c r="G20" s="7" t="n">
        <v>2</v>
      </c>
      <c r="H20" s="16" t="s">
        <v>134</v>
      </c>
      <c r="I20" s="16" t="s">
        <v>135</v>
      </c>
      <c r="J20" s="16"/>
      <c r="K20" s="18" t="n">
        <v>1</v>
      </c>
      <c r="L20" s="18" t="n">
        <v>1</v>
      </c>
      <c r="M20" s="19" t="n">
        <f aca="false">ROUND(INDEX(Tuning!$D$5:$D$19,MATCH($C20,Tuning!$A$5:$A$19,0))*INDEX(Tuning!$B$24:$B$29,MATCH($F20,Tuning!$A$24:$A$29,0))*K20,1)</f>
        <v>19.1</v>
      </c>
      <c r="N20" s="20" t="n">
        <f aca="false">ROUND(INDEX(Tuning!$E$5:$E$19,MATCH($C20,Tuning!$A$5:$A$19,0))*L20,2)</f>
        <v>1</v>
      </c>
      <c r="O20" s="19" t="n">
        <f aca="false">ROUND(M20*N20,1)</f>
        <v>19.1</v>
      </c>
      <c r="P20" s="7" t="n">
        <f aca="false">INDEX(Tuning!$G$5:$G$19,MATCH($C20,Tuning!$A$5:$A$19,0))</f>
        <v>90</v>
      </c>
      <c r="Q20" s="16" t="s">
        <v>49</v>
      </c>
    </row>
    <row r="21" customFormat="false" ht="30" hidden="false" customHeight="true" outlineLevel="0" collapsed="false">
      <c r="A21" s="7" t="s">
        <v>136</v>
      </c>
      <c r="B21" s="16" t="s">
        <v>137</v>
      </c>
      <c r="C21" s="17" t="s">
        <v>129</v>
      </c>
      <c r="D21" s="7" t="str">
        <f aca="false">INDEX(Tuning!$C$5:$C$19,MATCH($C21,Tuning!$A$5:$A$19,0))</f>
        <v>Demon</v>
      </c>
      <c r="E21" s="16" t="s">
        <v>82</v>
      </c>
      <c r="F21" s="7" t="s">
        <v>25</v>
      </c>
      <c r="G21" s="7" t="n">
        <v>2</v>
      </c>
      <c r="H21" s="16" t="s">
        <v>138</v>
      </c>
      <c r="I21" s="16" t="s">
        <v>139</v>
      </c>
      <c r="J21" s="16"/>
      <c r="K21" s="18" t="n">
        <v>1</v>
      </c>
      <c r="L21" s="18" t="n">
        <v>1</v>
      </c>
      <c r="M21" s="19" t="n">
        <f aca="false">ROUND(INDEX(Tuning!$D$5:$D$19,MATCH($C21,Tuning!$A$5:$A$19,0))*INDEX(Tuning!$B$24:$B$29,MATCH($F21,Tuning!$A$24:$A$29,0))*K21,1)</f>
        <v>23.4</v>
      </c>
      <c r="N21" s="20" t="n">
        <f aca="false">ROUND(INDEX(Tuning!$E$5:$E$19,MATCH($C21,Tuning!$A$5:$A$19,0))*L21,2)</f>
        <v>1</v>
      </c>
      <c r="O21" s="19" t="n">
        <f aca="false">ROUND(M21*N21,1)</f>
        <v>23.4</v>
      </c>
      <c r="P21" s="7" t="n">
        <f aca="false">INDEX(Tuning!$G$5:$G$19,MATCH($C21,Tuning!$A$5:$A$19,0))</f>
        <v>90</v>
      </c>
      <c r="Q21" s="16" t="s">
        <v>140</v>
      </c>
    </row>
    <row r="22" customFormat="false" ht="30" hidden="false" customHeight="true" outlineLevel="0" collapsed="false">
      <c r="A22" s="7" t="s">
        <v>141</v>
      </c>
      <c r="B22" s="16" t="s">
        <v>142</v>
      </c>
      <c r="C22" s="17" t="s">
        <v>129</v>
      </c>
      <c r="D22" s="7" t="str">
        <f aca="false">INDEX(Tuning!$C$5:$C$19,MATCH($C22,Tuning!$A$5:$A$19,0))</f>
        <v>Demon</v>
      </c>
      <c r="E22" s="16" t="s">
        <v>82</v>
      </c>
      <c r="F22" s="7" t="s">
        <v>26</v>
      </c>
      <c r="G22" s="7" t="n">
        <v>2</v>
      </c>
      <c r="H22" s="16" t="s">
        <v>143</v>
      </c>
      <c r="I22" s="16" t="s">
        <v>144</v>
      </c>
      <c r="J22" s="16" t="s">
        <v>145</v>
      </c>
      <c r="K22" s="18" t="n">
        <v>1</v>
      </c>
      <c r="L22" s="18" t="n">
        <v>1</v>
      </c>
      <c r="M22" s="19" t="n">
        <f aca="false">ROUND(INDEX(Tuning!$D$5:$D$19,MATCH($C22,Tuning!$A$5:$A$19,0))*INDEX(Tuning!$B$24:$B$29,MATCH($F22,Tuning!$A$24:$A$29,0))*K22,1)</f>
        <v>25.2</v>
      </c>
      <c r="N22" s="20" t="n">
        <f aca="false">ROUND(INDEX(Tuning!$E$5:$E$19,MATCH($C22,Tuning!$A$5:$A$19,0))*L22,2)</f>
        <v>1</v>
      </c>
      <c r="O22" s="19" t="n">
        <f aca="false">ROUND(M22*N22,1)</f>
        <v>25.2</v>
      </c>
      <c r="P22" s="7" t="n">
        <f aca="false">INDEX(Tuning!$G$5:$G$19,MATCH($C22,Tuning!$A$5:$A$19,0))</f>
        <v>90</v>
      </c>
      <c r="Q22" s="16" t="s">
        <v>146</v>
      </c>
    </row>
    <row r="23" customFormat="false" ht="16.5" hidden="false" customHeight="true" outlineLevel="0" collapsed="false">
      <c r="A23" s="7" t="s">
        <v>147</v>
      </c>
      <c r="B23" s="16" t="s">
        <v>148</v>
      </c>
      <c r="C23" s="17" t="s">
        <v>149</v>
      </c>
      <c r="D23" s="7" t="str">
        <f aca="false">INDEX(Tuning!$C$5:$C$19,MATCH($C23,Tuning!$A$5:$A$19,0))</f>
        <v>God</v>
      </c>
      <c r="E23" s="16" t="s">
        <v>46</v>
      </c>
      <c r="F23" s="7" t="s">
        <v>21</v>
      </c>
      <c r="G23" s="7" t="n">
        <v>2</v>
      </c>
      <c r="H23" s="16" t="s">
        <v>150</v>
      </c>
      <c r="I23" s="16" t="s">
        <v>106</v>
      </c>
      <c r="J23" s="16"/>
      <c r="K23" s="18" t="n">
        <v>1</v>
      </c>
      <c r="L23" s="18" t="n">
        <v>1</v>
      </c>
      <c r="M23" s="19" t="n">
        <f aca="false">ROUND(INDEX(Tuning!$D$5:$D$19,MATCH($C23,Tuning!$A$5:$A$19,0))*INDEX(Tuning!$B$24:$B$29,MATCH($F23,Tuning!$A$24:$A$29,0))*K23,1)</f>
        <v>18</v>
      </c>
      <c r="N23" s="20" t="n">
        <f aca="false">ROUND(INDEX(Tuning!$E$5:$E$19,MATCH($C23,Tuning!$A$5:$A$19,0))*L23,2)</f>
        <v>1.2</v>
      </c>
      <c r="O23" s="19" t="n">
        <f aca="false">ROUND(M23*N23,1)</f>
        <v>21.6</v>
      </c>
      <c r="P23" s="7" t="n">
        <f aca="false">INDEX(Tuning!$G$5:$G$19,MATCH($C23,Tuning!$A$5:$A$19,0))</f>
        <v>130</v>
      </c>
      <c r="Q23" s="16" t="s">
        <v>151</v>
      </c>
    </row>
    <row r="24" customFormat="false" ht="30" hidden="false" customHeight="true" outlineLevel="0" collapsed="false">
      <c r="A24" s="7" t="s">
        <v>152</v>
      </c>
      <c r="B24" s="16" t="s">
        <v>153</v>
      </c>
      <c r="C24" s="17" t="s">
        <v>149</v>
      </c>
      <c r="D24" s="7" t="str">
        <f aca="false">INDEX(Tuning!$C$5:$C$19,MATCH($C24,Tuning!$A$5:$A$19,0))</f>
        <v>God</v>
      </c>
      <c r="E24" s="16" t="s">
        <v>46</v>
      </c>
      <c r="F24" s="7" t="s">
        <v>22</v>
      </c>
      <c r="G24" s="7" t="n">
        <v>2</v>
      </c>
      <c r="H24" s="16" t="s">
        <v>154</v>
      </c>
      <c r="I24" s="16" t="s">
        <v>135</v>
      </c>
      <c r="J24" s="16"/>
      <c r="K24" s="18" t="n">
        <v>1</v>
      </c>
      <c r="L24" s="18" t="n">
        <v>1</v>
      </c>
      <c r="M24" s="19" t="n">
        <f aca="false">ROUND(INDEX(Tuning!$D$5:$D$19,MATCH($C24,Tuning!$A$5:$A$19,0))*INDEX(Tuning!$B$24:$B$29,MATCH($F24,Tuning!$A$24:$A$29,0))*K24,1)</f>
        <v>19.1</v>
      </c>
      <c r="N24" s="20" t="n">
        <f aca="false">ROUND(INDEX(Tuning!$E$5:$E$19,MATCH($C24,Tuning!$A$5:$A$19,0))*L24,2)</f>
        <v>1.2</v>
      </c>
      <c r="O24" s="19" t="n">
        <f aca="false">ROUND(M24*N24,1)</f>
        <v>22.9</v>
      </c>
      <c r="P24" s="7" t="n">
        <f aca="false">INDEX(Tuning!$G$5:$G$19,MATCH($C24,Tuning!$A$5:$A$19,0))</f>
        <v>130</v>
      </c>
      <c r="Q24" s="16" t="s">
        <v>155</v>
      </c>
    </row>
    <row r="25" customFormat="false" ht="30" hidden="false" customHeight="true" outlineLevel="0" collapsed="false">
      <c r="A25" s="7" t="s">
        <v>156</v>
      </c>
      <c r="B25" s="16" t="s">
        <v>157</v>
      </c>
      <c r="C25" s="17" t="s">
        <v>149</v>
      </c>
      <c r="D25" s="7" t="str">
        <f aca="false">INDEX(Tuning!$C$5:$C$19,MATCH($C25,Tuning!$A$5:$A$19,0))</f>
        <v>God</v>
      </c>
      <c r="E25" s="16" t="s">
        <v>77</v>
      </c>
      <c r="F25" s="7" t="s">
        <v>23</v>
      </c>
      <c r="G25" s="7" t="n">
        <v>2</v>
      </c>
      <c r="H25" s="16" t="s">
        <v>158</v>
      </c>
      <c r="I25" s="16" t="s">
        <v>116</v>
      </c>
      <c r="J25" s="16"/>
      <c r="K25" s="18" t="n">
        <v>1</v>
      </c>
      <c r="L25" s="18" t="n">
        <v>1</v>
      </c>
      <c r="M25" s="19" t="n">
        <f aca="false">ROUND(INDEX(Tuning!$D$5:$D$19,MATCH($C25,Tuning!$A$5:$A$19,0))*INDEX(Tuning!$B$24:$B$29,MATCH($F25,Tuning!$A$24:$A$29,0))*K25,1)</f>
        <v>20.2</v>
      </c>
      <c r="N25" s="20" t="n">
        <f aca="false">ROUND(INDEX(Tuning!$E$5:$E$19,MATCH($C25,Tuning!$A$5:$A$19,0))*L25,2)</f>
        <v>1.2</v>
      </c>
      <c r="O25" s="19" t="n">
        <f aca="false">ROUND(M25*N25,1)</f>
        <v>24.2</v>
      </c>
      <c r="P25" s="7" t="n">
        <f aca="false">INDEX(Tuning!$G$5:$G$19,MATCH($C25,Tuning!$A$5:$A$19,0))</f>
        <v>130</v>
      </c>
      <c r="Q25" s="16" t="s">
        <v>159</v>
      </c>
    </row>
    <row r="26" customFormat="false" ht="30" hidden="false" customHeight="true" outlineLevel="0" collapsed="false">
      <c r="A26" s="7" t="s">
        <v>160</v>
      </c>
      <c r="B26" s="16" t="s">
        <v>161</v>
      </c>
      <c r="C26" s="17" t="s">
        <v>149</v>
      </c>
      <c r="D26" s="7" t="str">
        <f aca="false">INDEX(Tuning!$C$5:$C$19,MATCH($C26,Tuning!$A$5:$A$19,0))</f>
        <v>God</v>
      </c>
      <c r="E26" s="16" t="s">
        <v>46</v>
      </c>
      <c r="F26" s="7" t="s">
        <v>25</v>
      </c>
      <c r="G26" s="7" t="n">
        <v>2</v>
      </c>
      <c r="H26" s="16" t="s">
        <v>162</v>
      </c>
      <c r="I26" s="16" t="s">
        <v>163</v>
      </c>
      <c r="J26" s="16"/>
      <c r="K26" s="18" t="n">
        <v>1</v>
      </c>
      <c r="L26" s="18" t="n">
        <v>1</v>
      </c>
      <c r="M26" s="19" t="n">
        <f aca="false">ROUND(INDEX(Tuning!$D$5:$D$19,MATCH($C26,Tuning!$A$5:$A$19,0))*INDEX(Tuning!$B$24:$B$29,MATCH($F26,Tuning!$A$24:$A$29,0))*K26,1)</f>
        <v>23.4</v>
      </c>
      <c r="N26" s="20" t="n">
        <f aca="false">ROUND(INDEX(Tuning!$E$5:$E$19,MATCH($C26,Tuning!$A$5:$A$19,0))*L26,2)</f>
        <v>1.2</v>
      </c>
      <c r="O26" s="19" t="n">
        <f aca="false">ROUND(M26*N26,1)</f>
        <v>28.1</v>
      </c>
      <c r="P26" s="7" t="n">
        <f aca="false">INDEX(Tuning!$G$5:$G$19,MATCH($C26,Tuning!$A$5:$A$19,0))</f>
        <v>130</v>
      </c>
      <c r="Q26" s="16" t="s">
        <v>164</v>
      </c>
    </row>
    <row r="27" customFormat="false" ht="16.5" hidden="false" customHeight="true" outlineLevel="0" collapsed="false">
      <c r="A27" s="7" t="s">
        <v>165</v>
      </c>
      <c r="B27" s="16" t="s">
        <v>166</v>
      </c>
      <c r="C27" s="17" t="s">
        <v>167</v>
      </c>
      <c r="D27" s="7" t="str">
        <f aca="false">INDEX(Tuning!$C$5:$C$19,MATCH($C27,Tuning!$A$5:$A$19,0))</f>
        <v>Alien</v>
      </c>
      <c r="E27" s="16" t="s">
        <v>168</v>
      </c>
      <c r="F27" s="7" t="s">
        <v>21</v>
      </c>
      <c r="G27" s="7" t="n">
        <v>2</v>
      </c>
      <c r="H27" s="16" t="s">
        <v>169</v>
      </c>
      <c r="I27" s="16" t="s">
        <v>131</v>
      </c>
      <c r="J27" s="16"/>
      <c r="K27" s="18" t="n">
        <v>1</v>
      </c>
      <c r="L27" s="18" t="n">
        <v>1</v>
      </c>
      <c r="M27" s="19" t="n">
        <f aca="false">ROUND(INDEX(Tuning!$D$5:$D$19,MATCH($C27,Tuning!$A$5:$A$19,0))*INDEX(Tuning!$B$24:$B$29,MATCH($F27,Tuning!$A$24:$A$29,0))*K27,1)</f>
        <v>7</v>
      </c>
      <c r="N27" s="20" t="n">
        <f aca="false">ROUND(INDEX(Tuning!$E$5:$E$19,MATCH($C27,Tuning!$A$5:$A$19,0))*L27,2)</f>
        <v>2.5</v>
      </c>
      <c r="O27" s="19" t="n">
        <f aca="false">ROUND(M27*N27,1)</f>
        <v>17.5</v>
      </c>
      <c r="P27" s="7" t="n">
        <f aca="false">INDEX(Tuning!$G$5:$G$19,MATCH($C27,Tuning!$A$5:$A$19,0))</f>
        <v>300</v>
      </c>
      <c r="Q27" s="16" t="s">
        <v>49</v>
      </c>
    </row>
    <row r="28" customFormat="false" ht="30" hidden="false" customHeight="true" outlineLevel="0" collapsed="false">
      <c r="A28" s="7" t="s">
        <v>170</v>
      </c>
      <c r="B28" s="16" t="s">
        <v>171</v>
      </c>
      <c r="C28" s="17" t="s">
        <v>167</v>
      </c>
      <c r="D28" s="7" t="str">
        <f aca="false">INDEX(Tuning!$C$5:$C$19,MATCH($C28,Tuning!$A$5:$A$19,0))</f>
        <v>Alien</v>
      </c>
      <c r="E28" s="16" t="s">
        <v>46</v>
      </c>
      <c r="F28" s="7" t="s">
        <v>22</v>
      </c>
      <c r="G28" s="7" t="n">
        <v>2</v>
      </c>
      <c r="H28" s="16" t="s">
        <v>172</v>
      </c>
      <c r="I28" s="16" t="s">
        <v>135</v>
      </c>
      <c r="J28" s="16"/>
      <c r="K28" s="18" t="n">
        <v>1</v>
      </c>
      <c r="L28" s="18" t="n">
        <v>1</v>
      </c>
      <c r="M28" s="19" t="n">
        <f aca="false">ROUND(INDEX(Tuning!$D$5:$D$19,MATCH($C28,Tuning!$A$5:$A$19,0))*INDEX(Tuning!$B$24:$B$29,MATCH($F28,Tuning!$A$24:$A$29,0))*K28,1)</f>
        <v>7.4</v>
      </c>
      <c r="N28" s="20" t="n">
        <f aca="false">ROUND(INDEX(Tuning!$E$5:$E$19,MATCH($C28,Tuning!$A$5:$A$19,0))*L28,2)</f>
        <v>2.5</v>
      </c>
      <c r="O28" s="19" t="n">
        <f aca="false">ROUND(M28*N28,1)</f>
        <v>18.5</v>
      </c>
      <c r="P28" s="7" t="n">
        <f aca="false">INDEX(Tuning!$G$5:$G$19,MATCH($C28,Tuning!$A$5:$A$19,0))</f>
        <v>300</v>
      </c>
      <c r="Q28" s="16" t="s">
        <v>173</v>
      </c>
    </row>
    <row r="29" customFormat="false" ht="30" hidden="false" customHeight="true" outlineLevel="0" collapsed="false">
      <c r="A29" s="7" t="s">
        <v>174</v>
      </c>
      <c r="B29" s="16" t="s">
        <v>175</v>
      </c>
      <c r="C29" s="17" t="s">
        <v>167</v>
      </c>
      <c r="D29" s="7" t="str">
        <f aca="false">INDEX(Tuning!$C$5:$C$19,MATCH($C29,Tuning!$A$5:$A$19,0))</f>
        <v>Alien</v>
      </c>
      <c r="E29" s="16" t="s">
        <v>168</v>
      </c>
      <c r="F29" s="7" t="s">
        <v>23</v>
      </c>
      <c r="G29" s="7" t="n">
        <v>2</v>
      </c>
      <c r="H29" s="16" t="s">
        <v>176</v>
      </c>
      <c r="I29" s="16" t="s">
        <v>177</v>
      </c>
      <c r="J29" s="16"/>
      <c r="K29" s="18" t="n">
        <v>1</v>
      </c>
      <c r="L29" s="18" t="n">
        <v>1</v>
      </c>
      <c r="M29" s="19" t="n">
        <f aca="false">ROUND(INDEX(Tuning!$D$5:$D$19,MATCH($C29,Tuning!$A$5:$A$19,0))*INDEX(Tuning!$B$24:$B$29,MATCH($F29,Tuning!$A$24:$A$29,0))*K29,1)</f>
        <v>7.8</v>
      </c>
      <c r="N29" s="20" t="n">
        <f aca="false">ROUND(INDEX(Tuning!$E$5:$E$19,MATCH($C29,Tuning!$A$5:$A$19,0))*L29,2)</f>
        <v>2.5</v>
      </c>
      <c r="O29" s="19" t="n">
        <f aca="false">ROUND(M29*N29,1)</f>
        <v>19.5</v>
      </c>
      <c r="P29" s="7" t="n">
        <f aca="false">INDEX(Tuning!$G$5:$G$19,MATCH($C29,Tuning!$A$5:$A$19,0))</f>
        <v>300</v>
      </c>
      <c r="Q29" s="16" t="s">
        <v>178</v>
      </c>
    </row>
    <row r="30" customFormat="false" ht="30" hidden="false" customHeight="true" outlineLevel="0" collapsed="false">
      <c r="A30" s="7" t="s">
        <v>179</v>
      </c>
      <c r="B30" s="16" t="s">
        <v>180</v>
      </c>
      <c r="C30" s="17" t="s">
        <v>45</v>
      </c>
      <c r="D30" s="7" t="str">
        <f aca="false">INDEX(Tuning!$C$5:$C$19,MATCH($C30,Tuning!$A$5:$A$19,0))</f>
        <v>Human</v>
      </c>
      <c r="E30" s="16" t="s">
        <v>46</v>
      </c>
      <c r="F30" s="7" t="s">
        <v>23</v>
      </c>
      <c r="G30" s="7" t="n">
        <v>2</v>
      </c>
      <c r="H30" s="16" t="s">
        <v>181</v>
      </c>
      <c r="I30" s="16" t="s">
        <v>182</v>
      </c>
      <c r="J30" s="16"/>
      <c r="K30" s="18" t="n">
        <v>1</v>
      </c>
      <c r="L30" s="18" t="n">
        <v>1</v>
      </c>
      <c r="M30" s="19" t="n">
        <f aca="false">ROUND(INDEX(Tuning!$D$5:$D$19,MATCH($C30,Tuning!$A$5:$A$19,0))*INDEX(Tuning!$B$24:$B$29,MATCH($F30,Tuning!$A$24:$A$29,0))*K30,1)</f>
        <v>15.7</v>
      </c>
      <c r="N30" s="20" t="n">
        <f aca="false">ROUND(INDEX(Tuning!$E$5:$E$19,MATCH($C30,Tuning!$A$5:$A$19,0))*L30,2)</f>
        <v>1.6</v>
      </c>
      <c r="O30" s="19" t="n">
        <f aca="false">ROUND(M30*N30,1)</f>
        <v>25.1</v>
      </c>
      <c r="P30" s="7" t="n">
        <f aca="false">INDEX(Tuning!$G$5:$G$19,MATCH($C30,Tuning!$A$5:$A$19,0))</f>
        <v>70</v>
      </c>
      <c r="Q30" s="16" t="s">
        <v>183</v>
      </c>
    </row>
    <row r="31" customFormat="false" ht="30" hidden="false" customHeight="true" outlineLevel="0" collapsed="false">
      <c r="A31" s="7" t="s">
        <v>184</v>
      </c>
      <c r="B31" s="16" t="s">
        <v>185</v>
      </c>
      <c r="C31" s="17" t="s">
        <v>45</v>
      </c>
      <c r="D31" s="7" t="str">
        <f aca="false">INDEX(Tuning!$C$5:$C$19,MATCH($C31,Tuning!$A$5:$A$19,0))</f>
        <v>Human</v>
      </c>
      <c r="E31" s="16" t="s">
        <v>46</v>
      </c>
      <c r="F31" s="7" t="s">
        <v>23</v>
      </c>
      <c r="G31" s="7" t="n">
        <v>2</v>
      </c>
      <c r="H31" s="16" t="s">
        <v>186</v>
      </c>
      <c r="I31" s="16" t="s">
        <v>187</v>
      </c>
      <c r="J31" s="16"/>
      <c r="K31" s="18" t="n">
        <v>1</v>
      </c>
      <c r="L31" s="18" t="n">
        <v>1</v>
      </c>
      <c r="M31" s="19" t="n">
        <f aca="false">ROUND(INDEX(Tuning!$D$5:$D$19,MATCH($C31,Tuning!$A$5:$A$19,0))*INDEX(Tuning!$B$24:$B$29,MATCH($F31,Tuning!$A$24:$A$29,0))*K31,1)</f>
        <v>15.7</v>
      </c>
      <c r="N31" s="20" t="n">
        <f aca="false">ROUND(INDEX(Tuning!$E$5:$E$19,MATCH($C31,Tuning!$A$5:$A$19,0))*L31,2)</f>
        <v>1.6</v>
      </c>
      <c r="O31" s="19" t="n">
        <f aca="false">ROUND(M31*N31,1)</f>
        <v>25.1</v>
      </c>
      <c r="P31" s="7" t="n">
        <f aca="false">INDEX(Tuning!$G$5:$G$19,MATCH($C31,Tuning!$A$5:$A$19,0))</f>
        <v>70</v>
      </c>
      <c r="Q31" s="16" t="s">
        <v>188</v>
      </c>
    </row>
    <row r="32" customFormat="false" ht="16.5" hidden="false" customHeight="true" outlineLevel="0" collapsed="false">
      <c r="A32" s="7" t="s">
        <v>189</v>
      </c>
      <c r="B32" s="16" t="s">
        <v>190</v>
      </c>
      <c r="C32" s="17" t="s">
        <v>45</v>
      </c>
      <c r="D32" s="7" t="str">
        <f aca="false">INDEX(Tuning!$C$5:$C$19,MATCH($C32,Tuning!$A$5:$A$19,0))</f>
        <v>Human</v>
      </c>
      <c r="E32" s="16" t="s">
        <v>82</v>
      </c>
      <c r="F32" s="7" t="s">
        <v>24</v>
      </c>
      <c r="G32" s="7" t="n">
        <v>2</v>
      </c>
      <c r="H32" s="16" t="s">
        <v>191</v>
      </c>
      <c r="I32" s="16" t="s">
        <v>125</v>
      </c>
      <c r="J32" s="16"/>
      <c r="K32" s="18" t="n">
        <v>1</v>
      </c>
      <c r="L32" s="18" t="n">
        <v>1</v>
      </c>
      <c r="M32" s="19" t="n">
        <f aca="false">ROUND(INDEX(Tuning!$D$5:$D$19,MATCH($C32,Tuning!$A$5:$A$19,0))*INDEX(Tuning!$B$24:$B$29,MATCH($F32,Tuning!$A$24:$A$29,0))*K32,1)</f>
        <v>16.8</v>
      </c>
      <c r="N32" s="20" t="n">
        <f aca="false">ROUND(INDEX(Tuning!$E$5:$E$19,MATCH($C32,Tuning!$A$5:$A$19,0))*L32,2)</f>
        <v>1.6</v>
      </c>
      <c r="O32" s="19" t="n">
        <f aca="false">ROUND(M32*N32,1)</f>
        <v>26.9</v>
      </c>
      <c r="P32" s="7" t="n">
        <f aca="false">INDEX(Tuning!$G$5:$G$19,MATCH($C32,Tuning!$A$5:$A$19,0))</f>
        <v>70</v>
      </c>
      <c r="Q32" s="16" t="s">
        <v>192</v>
      </c>
    </row>
    <row r="33" customFormat="false" ht="16.5" hidden="false" customHeight="true" outlineLevel="0" collapsed="false">
      <c r="A33" s="7" t="s">
        <v>193</v>
      </c>
      <c r="B33" s="16" t="s">
        <v>194</v>
      </c>
      <c r="C33" s="17" t="s">
        <v>45</v>
      </c>
      <c r="D33" s="7" t="str">
        <f aca="false">INDEX(Tuning!$C$5:$C$19,MATCH($C33,Tuning!$A$5:$A$19,0))</f>
        <v>Human</v>
      </c>
      <c r="E33" s="16" t="s">
        <v>46</v>
      </c>
      <c r="F33" s="7" t="s">
        <v>24</v>
      </c>
      <c r="G33" s="7" t="n">
        <v>2</v>
      </c>
      <c r="H33" s="16" t="s">
        <v>195</v>
      </c>
      <c r="I33" s="16" t="s">
        <v>196</v>
      </c>
      <c r="J33" s="16"/>
      <c r="K33" s="18" t="n">
        <v>1</v>
      </c>
      <c r="L33" s="18" t="n">
        <v>1.2</v>
      </c>
      <c r="M33" s="19" t="n">
        <f aca="false">ROUND(INDEX(Tuning!$D$5:$D$19,MATCH($C33,Tuning!$A$5:$A$19,0))*INDEX(Tuning!$B$24:$B$29,MATCH($F33,Tuning!$A$24:$A$29,0))*K33,1)</f>
        <v>16.8</v>
      </c>
      <c r="N33" s="20" t="n">
        <f aca="false">ROUND(INDEX(Tuning!$E$5:$E$19,MATCH($C33,Tuning!$A$5:$A$19,0))*L33,2)</f>
        <v>1.92</v>
      </c>
      <c r="O33" s="19" t="n">
        <f aca="false">ROUND(M33*N33,1)</f>
        <v>32.3</v>
      </c>
      <c r="P33" s="7" t="n">
        <f aca="false">INDEX(Tuning!$G$5:$G$19,MATCH($C33,Tuning!$A$5:$A$19,0))</f>
        <v>70</v>
      </c>
      <c r="Q33" s="16" t="s">
        <v>197</v>
      </c>
    </row>
    <row r="34" customFormat="false" ht="30" hidden="false" customHeight="true" outlineLevel="0" collapsed="false">
      <c r="A34" s="7" t="s">
        <v>198</v>
      </c>
      <c r="B34" s="16" t="s">
        <v>199</v>
      </c>
      <c r="C34" s="17" t="s">
        <v>45</v>
      </c>
      <c r="D34" s="7" t="str">
        <f aca="false">INDEX(Tuning!$C$5:$C$19,MATCH($C34,Tuning!$A$5:$A$19,0))</f>
        <v>Human</v>
      </c>
      <c r="E34" s="16" t="s">
        <v>46</v>
      </c>
      <c r="F34" s="7" t="s">
        <v>24</v>
      </c>
      <c r="G34" s="7" t="n">
        <v>2</v>
      </c>
      <c r="H34" s="16" t="s">
        <v>200</v>
      </c>
      <c r="I34" s="16" t="s">
        <v>201</v>
      </c>
      <c r="J34" s="16"/>
      <c r="K34" s="18" t="n">
        <v>1</v>
      </c>
      <c r="L34" s="18" t="n">
        <v>1</v>
      </c>
      <c r="M34" s="19" t="n">
        <f aca="false">ROUND(INDEX(Tuning!$D$5:$D$19,MATCH($C34,Tuning!$A$5:$A$19,0))*INDEX(Tuning!$B$24:$B$29,MATCH($F34,Tuning!$A$24:$A$29,0))*K34,1)</f>
        <v>16.8</v>
      </c>
      <c r="N34" s="20" t="n">
        <f aca="false">ROUND(INDEX(Tuning!$E$5:$E$19,MATCH($C34,Tuning!$A$5:$A$19,0))*L34,2)</f>
        <v>1.6</v>
      </c>
      <c r="O34" s="19" t="n">
        <f aca="false">ROUND(M34*N34,1)</f>
        <v>26.9</v>
      </c>
      <c r="P34" s="7" t="n">
        <f aca="false">INDEX(Tuning!$G$5:$G$19,MATCH($C34,Tuning!$A$5:$A$19,0))</f>
        <v>70</v>
      </c>
      <c r="Q34" s="16" t="s">
        <v>202</v>
      </c>
    </row>
    <row r="35" customFormat="false" ht="30" hidden="false" customHeight="true" outlineLevel="0" collapsed="false">
      <c r="A35" s="7" t="s">
        <v>203</v>
      </c>
      <c r="B35" s="16" t="s">
        <v>204</v>
      </c>
      <c r="C35" s="17" t="s">
        <v>45</v>
      </c>
      <c r="D35" s="7" t="str">
        <f aca="false">INDEX(Tuning!$C$5:$C$19,MATCH($C35,Tuning!$A$5:$A$19,0))</f>
        <v>Human</v>
      </c>
      <c r="E35" s="16" t="s">
        <v>46</v>
      </c>
      <c r="F35" s="7" t="s">
        <v>24</v>
      </c>
      <c r="G35" s="7" t="n">
        <v>2</v>
      </c>
      <c r="H35" s="16" t="s">
        <v>205</v>
      </c>
      <c r="I35" s="16" t="s">
        <v>206</v>
      </c>
      <c r="J35" s="16"/>
      <c r="K35" s="18" t="n">
        <v>1</v>
      </c>
      <c r="L35" s="18" t="n">
        <v>1</v>
      </c>
      <c r="M35" s="19" t="n">
        <f aca="false">ROUND(INDEX(Tuning!$D$5:$D$19,MATCH($C35,Tuning!$A$5:$A$19,0))*INDEX(Tuning!$B$24:$B$29,MATCH($F35,Tuning!$A$24:$A$29,0))*K35,1)</f>
        <v>16.8</v>
      </c>
      <c r="N35" s="20" t="n">
        <f aca="false">ROUND(INDEX(Tuning!$E$5:$E$19,MATCH($C35,Tuning!$A$5:$A$19,0))*L35,2)</f>
        <v>1.6</v>
      </c>
      <c r="O35" s="19" t="n">
        <f aca="false">ROUND(M35*N35,1)</f>
        <v>26.9</v>
      </c>
      <c r="P35" s="7" t="n">
        <f aca="false">INDEX(Tuning!$G$5:$G$19,MATCH($C35,Tuning!$A$5:$A$19,0))</f>
        <v>70</v>
      </c>
      <c r="Q35" s="16" t="s">
        <v>207</v>
      </c>
    </row>
    <row r="36" customFormat="false" ht="30" hidden="false" customHeight="true" outlineLevel="0" collapsed="false">
      <c r="A36" s="7" t="s">
        <v>208</v>
      </c>
      <c r="B36" s="16" t="s">
        <v>209</v>
      </c>
      <c r="C36" s="17" t="s">
        <v>45</v>
      </c>
      <c r="D36" s="7" t="str">
        <f aca="false">INDEX(Tuning!$C$5:$C$19,MATCH($C36,Tuning!$A$5:$A$19,0))</f>
        <v>Human</v>
      </c>
      <c r="E36" s="16" t="s">
        <v>46</v>
      </c>
      <c r="F36" s="7" t="s">
        <v>25</v>
      </c>
      <c r="G36" s="7" t="n">
        <v>2</v>
      </c>
      <c r="H36" s="16" t="s">
        <v>210</v>
      </c>
      <c r="I36" s="16" t="s">
        <v>125</v>
      </c>
      <c r="J36" s="16"/>
      <c r="K36" s="18" t="n">
        <v>1</v>
      </c>
      <c r="L36" s="18" t="n">
        <v>1</v>
      </c>
      <c r="M36" s="19" t="n">
        <f aca="false">ROUND(INDEX(Tuning!$D$5:$D$19,MATCH($C36,Tuning!$A$5:$A$19,0))*INDEX(Tuning!$B$24:$B$29,MATCH($F36,Tuning!$A$24:$A$29,0))*K36,1)</f>
        <v>18.2</v>
      </c>
      <c r="N36" s="20" t="n">
        <f aca="false">ROUND(INDEX(Tuning!$E$5:$E$19,MATCH($C36,Tuning!$A$5:$A$19,0))*L36,2)</f>
        <v>1.6</v>
      </c>
      <c r="O36" s="19" t="n">
        <f aca="false">ROUND(M36*N36,1)</f>
        <v>29.1</v>
      </c>
      <c r="P36" s="7" t="n">
        <f aca="false">INDEX(Tuning!$G$5:$G$19,MATCH($C36,Tuning!$A$5:$A$19,0))</f>
        <v>70</v>
      </c>
      <c r="Q36" s="16" t="s">
        <v>211</v>
      </c>
    </row>
    <row r="37" customFormat="false" ht="16.5" hidden="false" customHeight="true" outlineLevel="0" collapsed="false">
      <c r="A37" s="7" t="s">
        <v>212</v>
      </c>
      <c r="B37" s="16" t="s">
        <v>213</v>
      </c>
      <c r="C37" s="17" t="s">
        <v>62</v>
      </c>
      <c r="D37" s="7" t="str">
        <f aca="false">INDEX(Tuning!$C$5:$C$19,MATCH($C37,Tuning!$A$5:$A$19,0))</f>
        <v>Demon</v>
      </c>
      <c r="E37" s="16" t="s">
        <v>46</v>
      </c>
      <c r="F37" s="7" t="s">
        <v>24</v>
      </c>
      <c r="G37" s="7" t="n">
        <v>2</v>
      </c>
      <c r="H37" s="16" t="s">
        <v>214</v>
      </c>
      <c r="I37" s="16" t="s">
        <v>196</v>
      </c>
      <c r="J37" s="16"/>
      <c r="K37" s="18" t="n">
        <v>1</v>
      </c>
      <c r="L37" s="18" t="n">
        <v>1</v>
      </c>
      <c r="M37" s="19" t="n">
        <f aca="false">ROUND(INDEX(Tuning!$D$5:$D$19,MATCH($C37,Tuning!$A$5:$A$19,0))*INDEX(Tuning!$B$24:$B$29,MATCH($F37,Tuning!$A$24:$A$29,0))*K37,1)</f>
        <v>31.2</v>
      </c>
      <c r="N37" s="20" t="n">
        <f aca="false">ROUND(INDEX(Tuning!$E$5:$E$19,MATCH($C37,Tuning!$A$5:$A$19,0))*L37,2)</f>
        <v>0.8</v>
      </c>
      <c r="O37" s="19" t="n">
        <f aca="false">ROUND(M37*N37,1)</f>
        <v>25</v>
      </c>
      <c r="P37" s="7" t="n">
        <f aca="false">INDEX(Tuning!$G$5:$G$19,MATCH($C37,Tuning!$A$5:$A$19,0))</f>
        <v>95</v>
      </c>
      <c r="Q37" s="16" t="s">
        <v>215</v>
      </c>
    </row>
    <row r="38" customFormat="false" ht="30" hidden="false" customHeight="true" outlineLevel="0" collapsed="false">
      <c r="A38" s="7" t="s">
        <v>216</v>
      </c>
      <c r="B38" s="16" t="s">
        <v>217</v>
      </c>
      <c r="C38" s="17" t="s">
        <v>62</v>
      </c>
      <c r="D38" s="7" t="str">
        <f aca="false">INDEX(Tuning!$C$5:$C$19,MATCH($C38,Tuning!$A$5:$A$19,0))</f>
        <v>Demon</v>
      </c>
      <c r="E38" s="16" t="s">
        <v>82</v>
      </c>
      <c r="F38" s="7" t="s">
        <v>24</v>
      </c>
      <c r="G38" s="7" t="n">
        <v>2</v>
      </c>
      <c r="H38" s="16" t="s">
        <v>218</v>
      </c>
      <c r="I38" s="16" t="s">
        <v>125</v>
      </c>
      <c r="J38" s="16"/>
      <c r="K38" s="18" t="n">
        <v>1</v>
      </c>
      <c r="L38" s="18" t="n">
        <v>1</v>
      </c>
      <c r="M38" s="19" t="n">
        <f aca="false">ROUND(INDEX(Tuning!$D$5:$D$19,MATCH($C38,Tuning!$A$5:$A$19,0))*INDEX(Tuning!$B$24:$B$29,MATCH($F38,Tuning!$A$24:$A$29,0))*K38,1)</f>
        <v>31.2</v>
      </c>
      <c r="N38" s="20" t="n">
        <f aca="false">ROUND(INDEX(Tuning!$E$5:$E$19,MATCH($C38,Tuning!$A$5:$A$19,0))*L38,2)</f>
        <v>0.8</v>
      </c>
      <c r="O38" s="19" t="n">
        <f aca="false">ROUND(M38*N38,1)</f>
        <v>25</v>
      </c>
      <c r="P38" s="7" t="n">
        <f aca="false">INDEX(Tuning!$G$5:$G$19,MATCH($C38,Tuning!$A$5:$A$19,0))</f>
        <v>95</v>
      </c>
      <c r="Q38" s="16" t="s">
        <v>219</v>
      </c>
    </row>
    <row r="39" customFormat="false" ht="30" hidden="false" customHeight="true" outlineLevel="0" collapsed="false">
      <c r="A39" s="7" t="s">
        <v>220</v>
      </c>
      <c r="B39" s="16" t="s">
        <v>221</v>
      </c>
      <c r="C39" s="17" t="s">
        <v>62</v>
      </c>
      <c r="D39" s="7" t="str">
        <f aca="false">INDEX(Tuning!$C$5:$C$19,MATCH($C39,Tuning!$A$5:$A$19,0))</f>
        <v>Demon</v>
      </c>
      <c r="E39" s="16" t="s">
        <v>82</v>
      </c>
      <c r="F39" s="7" t="s">
        <v>25</v>
      </c>
      <c r="G39" s="7" t="n">
        <v>2</v>
      </c>
      <c r="H39" s="16" t="s">
        <v>222</v>
      </c>
      <c r="I39" s="16" t="s">
        <v>125</v>
      </c>
      <c r="J39" s="16"/>
      <c r="K39" s="18" t="n">
        <v>1</v>
      </c>
      <c r="L39" s="18" t="n">
        <v>1</v>
      </c>
      <c r="M39" s="19" t="n">
        <f aca="false">ROUND(INDEX(Tuning!$D$5:$D$19,MATCH($C39,Tuning!$A$5:$A$19,0))*INDEX(Tuning!$B$24:$B$29,MATCH($F39,Tuning!$A$24:$A$29,0))*K39,1)</f>
        <v>33.8</v>
      </c>
      <c r="N39" s="20" t="n">
        <f aca="false">ROUND(INDEX(Tuning!$E$5:$E$19,MATCH($C39,Tuning!$A$5:$A$19,0))*L39,2)</f>
        <v>0.8</v>
      </c>
      <c r="O39" s="19" t="n">
        <f aca="false">ROUND(M39*N39,1)</f>
        <v>27</v>
      </c>
      <c r="P39" s="7" t="n">
        <f aca="false">INDEX(Tuning!$G$5:$G$19,MATCH($C39,Tuning!$A$5:$A$19,0))</f>
        <v>95</v>
      </c>
      <c r="Q39" s="16" t="s">
        <v>223</v>
      </c>
    </row>
    <row r="40" customFormat="false" ht="30" hidden="false" customHeight="true" outlineLevel="0" collapsed="false">
      <c r="A40" s="7" t="s">
        <v>224</v>
      </c>
      <c r="B40" s="16" t="s">
        <v>225</v>
      </c>
      <c r="C40" s="17" t="s">
        <v>76</v>
      </c>
      <c r="D40" s="7" t="str">
        <f aca="false">INDEX(Tuning!$C$5:$C$19,MATCH($C40,Tuning!$A$5:$A$19,0))</f>
        <v>God</v>
      </c>
      <c r="E40" s="16" t="s">
        <v>226</v>
      </c>
      <c r="F40" s="7" t="s">
        <v>24</v>
      </c>
      <c r="G40" s="7" t="n">
        <v>2</v>
      </c>
      <c r="H40" s="16" t="s">
        <v>227</v>
      </c>
      <c r="I40" s="16" t="s">
        <v>135</v>
      </c>
      <c r="J40" s="16"/>
      <c r="K40" s="18" t="n">
        <v>1</v>
      </c>
      <c r="L40" s="18" t="n">
        <v>1</v>
      </c>
      <c r="M40" s="19" t="n">
        <f aca="false">ROUND(INDEX(Tuning!$D$5:$D$19,MATCH($C40,Tuning!$A$5:$A$19,0))*INDEX(Tuning!$B$24:$B$29,MATCH($F40,Tuning!$A$24:$A$29,0))*K40,1)</f>
        <v>13.2</v>
      </c>
      <c r="N40" s="20" t="n">
        <f aca="false">ROUND(INDEX(Tuning!$E$5:$E$19,MATCH($C40,Tuning!$A$5:$A$19,0))*L40,2)</f>
        <v>1.8</v>
      </c>
      <c r="O40" s="19" t="n">
        <f aca="false">ROUND(M40*N40,1)</f>
        <v>23.8</v>
      </c>
      <c r="P40" s="7" t="n">
        <f aca="false">INDEX(Tuning!$G$5:$G$19,MATCH($C40,Tuning!$A$5:$A$19,0))</f>
        <v>380</v>
      </c>
      <c r="Q40" s="16" t="s">
        <v>228</v>
      </c>
    </row>
    <row r="41" customFormat="false" ht="30" hidden="false" customHeight="true" outlineLevel="0" collapsed="false">
      <c r="A41" s="7" t="s">
        <v>229</v>
      </c>
      <c r="B41" s="16" t="s">
        <v>230</v>
      </c>
      <c r="C41" s="17" t="s">
        <v>76</v>
      </c>
      <c r="D41" s="7" t="str">
        <f aca="false">INDEX(Tuning!$C$5:$C$19,MATCH($C41,Tuning!$A$5:$A$19,0))</f>
        <v>God</v>
      </c>
      <c r="E41" s="16" t="s">
        <v>77</v>
      </c>
      <c r="F41" s="7" t="s">
        <v>25</v>
      </c>
      <c r="G41" s="7" t="n">
        <v>2</v>
      </c>
      <c r="H41" s="16" t="s">
        <v>231</v>
      </c>
      <c r="I41" s="16" t="s">
        <v>232</v>
      </c>
      <c r="J41" s="16"/>
      <c r="K41" s="18" t="n">
        <v>1</v>
      </c>
      <c r="L41" s="18" t="n">
        <v>1</v>
      </c>
      <c r="M41" s="19" t="n">
        <f aca="false">ROUND(INDEX(Tuning!$D$5:$D$19,MATCH($C41,Tuning!$A$5:$A$19,0))*INDEX(Tuning!$B$24:$B$29,MATCH($F41,Tuning!$A$24:$A$29,0))*K41,1)</f>
        <v>14.3</v>
      </c>
      <c r="N41" s="20" t="n">
        <f aca="false">ROUND(INDEX(Tuning!$E$5:$E$19,MATCH($C41,Tuning!$A$5:$A$19,0))*L41,2)</f>
        <v>1.8</v>
      </c>
      <c r="O41" s="19" t="n">
        <f aca="false">ROUND(M41*N41,1)</f>
        <v>25.7</v>
      </c>
      <c r="P41" s="7" t="n">
        <f aca="false">INDEX(Tuning!$G$5:$G$19,MATCH($C41,Tuning!$A$5:$A$19,0))</f>
        <v>380</v>
      </c>
      <c r="Q41" s="16" t="s">
        <v>233</v>
      </c>
    </row>
    <row r="42" customFormat="false" ht="30" hidden="false" customHeight="true" outlineLevel="0" collapsed="false">
      <c r="A42" s="7" t="s">
        <v>234</v>
      </c>
      <c r="B42" s="16" t="s">
        <v>235</v>
      </c>
      <c r="C42" s="17" t="s">
        <v>91</v>
      </c>
      <c r="D42" s="7" t="str">
        <f aca="false">INDEX(Tuning!$C$5:$C$19,MATCH($C42,Tuning!$A$5:$A$19,0))</f>
        <v>Alien</v>
      </c>
      <c r="E42" s="16" t="s">
        <v>46</v>
      </c>
      <c r="F42" s="7" t="s">
        <v>23</v>
      </c>
      <c r="G42" s="7" t="n">
        <v>2</v>
      </c>
      <c r="H42" s="16" t="s">
        <v>236</v>
      </c>
      <c r="I42" s="16" t="s">
        <v>187</v>
      </c>
      <c r="J42" s="16"/>
      <c r="K42" s="18" t="n">
        <v>1</v>
      </c>
      <c r="L42" s="18" t="n">
        <v>1</v>
      </c>
      <c r="M42" s="19" t="n">
        <f aca="false">ROUND(INDEX(Tuning!$D$5:$D$19,MATCH($C42,Tuning!$A$5:$A$19,0))*INDEX(Tuning!$B$24:$B$29,MATCH($F42,Tuning!$A$24:$A$29,0))*K42,1)</f>
        <v>4.5</v>
      </c>
      <c r="N42" s="20" t="n">
        <f aca="false">ROUND(INDEX(Tuning!$E$5:$E$19,MATCH($C42,Tuning!$A$5:$A$19,0))*L42,2)</f>
        <v>10</v>
      </c>
      <c r="O42" s="19" t="n">
        <f aca="false">ROUND(M42*N42,1)</f>
        <v>45</v>
      </c>
      <c r="P42" s="7" t="n">
        <f aca="false">INDEX(Tuning!$G$5:$G$19,MATCH($C42,Tuning!$A$5:$A$19,0))</f>
        <v>350</v>
      </c>
      <c r="Q42" s="16" t="s">
        <v>237</v>
      </c>
    </row>
    <row r="43" customFormat="false" ht="30" hidden="false" customHeight="true" outlineLevel="0" collapsed="false">
      <c r="A43" s="7" t="s">
        <v>238</v>
      </c>
      <c r="B43" s="16" t="s">
        <v>239</v>
      </c>
      <c r="C43" s="17" t="s">
        <v>91</v>
      </c>
      <c r="D43" s="7" t="str">
        <f aca="false">INDEX(Tuning!$C$5:$C$19,MATCH($C43,Tuning!$A$5:$A$19,0))</f>
        <v>Alien</v>
      </c>
      <c r="E43" s="16" t="s">
        <v>46</v>
      </c>
      <c r="F43" s="7" t="s">
        <v>24</v>
      </c>
      <c r="G43" s="7" t="n">
        <v>2</v>
      </c>
      <c r="H43" s="16" t="s">
        <v>240</v>
      </c>
      <c r="I43" s="16" t="s">
        <v>125</v>
      </c>
      <c r="J43" s="16"/>
      <c r="K43" s="18" t="n">
        <v>1</v>
      </c>
      <c r="L43" s="18" t="n">
        <v>1</v>
      </c>
      <c r="M43" s="19" t="n">
        <f aca="false">ROUND(INDEX(Tuning!$D$5:$D$19,MATCH($C43,Tuning!$A$5:$A$19,0))*INDEX(Tuning!$B$24:$B$29,MATCH($F43,Tuning!$A$24:$A$29,0))*K43,1)</f>
        <v>4.8</v>
      </c>
      <c r="N43" s="20" t="n">
        <f aca="false">ROUND(INDEX(Tuning!$E$5:$E$19,MATCH($C43,Tuning!$A$5:$A$19,0))*L43,2)</f>
        <v>10</v>
      </c>
      <c r="O43" s="19" t="n">
        <f aca="false">ROUND(M43*N43,1)</f>
        <v>48</v>
      </c>
      <c r="P43" s="7" t="n">
        <f aca="false">INDEX(Tuning!$G$5:$G$19,MATCH($C43,Tuning!$A$5:$A$19,0))</f>
        <v>350</v>
      </c>
      <c r="Q43" s="16" t="s">
        <v>241</v>
      </c>
    </row>
    <row r="44" customFormat="false" ht="30" hidden="false" customHeight="true" outlineLevel="0" collapsed="false">
      <c r="A44" s="7" t="s">
        <v>242</v>
      </c>
      <c r="B44" s="16" t="s">
        <v>243</v>
      </c>
      <c r="C44" s="17" t="s">
        <v>91</v>
      </c>
      <c r="D44" s="7" t="str">
        <f aca="false">INDEX(Tuning!$C$5:$C$19,MATCH($C44,Tuning!$A$5:$A$19,0))</f>
        <v>Alien</v>
      </c>
      <c r="E44" s="16" t="s">
        <v>82</v>
      </c>
      <c r="F44" s="7" t="s">
        <v>24</v>
      </c>
      <c r="G44" s="7" t="n">
        <v>2</v>
      </c>
      <c r="H44" s="16" t="s">
        <v>244</v>
      </c>
      <c r="I44" s="16" t="s">
        <v>135</v>
      </c>
      <c r="J44" s="16"/>
      <c r="K44" s="18" t="n">
        <v>1</v>
      </c>
      <c r="L44" s="18" t="n">
        <v>1</v>
      </c>
      <c r="M44" s="19" t="n">
        <f aca="false">ROUND(INDEX(Tuning!$D$5:$D$19,MATCH($C44,Tuning!$A$5:$A$19,0))*INDEX(Tuning!$B$24:$B$29,MATCH($F44,Tuning!$A$24:$A$29,0))*K44,1)</f>
        <v>4.8</v>
      </c>
      <c r="N44" s="20" t="n">
        <f aca="false">ROUND(INDEX(Tuning!$E$5:$E$19,MATCH($C44,Tuning!$A$5:$A$19,0))*L44,2)</f>
        <v>10</v>
      </c>
      <c r="O44" s="19" t="n">
        <f aca="false">ROUND(M44*N44,1)</f>
        <v>48</v>
      </c>
      <c r="P44" s="7" t="n">
        <f aca="false">INDEX(Tuning!$G$5:$G$19,MATCH($C44,Tuning!$A$5:$A$19,0))</f>
        <v>350</v>
      </c>
      <c r="Q44" s="16" t="s">
        <v>245</v>
      </c>
    </row>
    <row r="45" customFormat="false" ht="30" hidden="false" customHeight="true" outlineLevel="0" collapsed="false">
      <c r="A45" s="7" t="s">
        <v>246</v>
      </c>
      <c r="B45" s="16" t="s">
        <v>247</v>
      </c>
      <c r="C45" s="17" t="s">
        <v>248</v>
      </c>
      <c r="D45" s="7" t="str">
        <f aca="false">INDEX(Tuning!$C$5:$C$19,MATCH($C45,Tuning!$A$5:$A$19,0))</f>
        <v>Human</v>
      </c>
      <c r="E45" s="16" t="s">
        <v>46</v>
      </c>
      <c r="F45" s="7" t="s">
        <v>21</v>
      </c>
      <c r="G45" s="7" t="n">
        <v>4</v>
      </c>
      <c r="H45" s="16" t="s">
        <v>249</v>
      </c>
      <c r="I45" s="16" t="s">
        <v>250</v>
      </c>
      <c r="J45" s="16"/>
      <c r="K45" s="18" t="n">
        <v>1</v>
      </c>
      <c r="L45" s="18" t="n">
        <v>1</v>
      </c>
      <c r="M45" s="19" t="n">
        <f aca="false">ROUND(INDEX(Tuning!$D$5:$D$19,MATCH($C45,Tuning!$A$5:$A$19,0))*INDEX(Tuning!$B$24:$B$29,MATCH($F45,Tuning!$A$24:$A$29,0))*K45,1)</f>
        <v>30</v>
      </c>
      <c r="N45" s="20" t="n">
        <f aca="false">ROUND(INDEX(Tuning!$E$5:$E$19,MATCH($C45,Tuning!$A$5:$A$19,0))*L45,2)</f>
        <v>1</v>
      </c>
      <c r="O45" s="19" t="n">
        <f aca="false">ROUND(M45*N45,1)</f>
        <v>30</v>
      </c>
      <c r="P45" s="7" t="n">
        <f aca="false">INDEX(Tuning!$G$5:$G$19,MATCH($C45,Tuning!$A$5:$A$19,0))</f>
        <v>220</v>
      </c>
      <c r="Q45" s="16" t="s">
        <v>251</v>
      </c>
    </row>
    <row r="46" customFormat="false" ht="16.5" hidden="false" customHeight="true" outlineLevel="0" collapsed="false">
      <c r="A46" s="7" t="s">
        <v>252</v>
      </c>
      <c r="B46" s="16" t="s">
        <v>253</v>
      </c>
      <c r="C46" s="17" t="s">
        <v>248</v>
      </c>
      <c r="D46" s="7" t="str">
        <f aca="false">INDEX(Tuning!$C$5:$C$19,MATCH($C46,Tuning!$A$5:$A$19,0))</f>
        <v>Human</v>
      </c>
      <c r="E46" s="16" t="s">
        <v>46</v>
      </c>
      <c r="F46" s="7" t="s">
        <v>22</v>
      </c>
      <c r="G46" s="7" t="n">
        <v>4</v>
      </c>
      <c r="H46" s="16" t="s">
        <v>254</v>
      </c>
      <c r="I46" s="16" t="s">
        <v>187</v>
      </c>
      <c r="J46" s="16"/>
      <c r="K46" s="18" t="n">
        <v>1</v>
      </c>
      <c r="L46" s="18" t="n">
        <v>1</v>
      </c>
      <c r="M46" s="19" t="n">
        <f aca="false">ROUND(INDEX(Tuning!$D$5:$D$19,MATCH($C46,Tuning!$A$5:$A$19,0))*INDEX(Tuning!$B$24:$B$29,MATCH($F46,Tuning!$A$24:$A$29,0))*K46,1)</f>
        <v>31.8</v>
      </c>
      <c r="N46" s="20" t="n">
        <f aca="false">ROUND(INDEX(Tuning!$E$5:$E$19,MATCH($C46,Tuning!$A$5:$A$19,0))*L46,2)</f>
        <v>1</v>
      </c>
      <c r="O46" s="19" t="n">
        <f aca="false">ROUND(M46*N46,1)</f>
        <v>31.8</v>
      </c>
      <c r="P46" s="7" t="n">
        <f aca="false">INDEX(Tuning!$G$5:$G$19,MATCH($C46,Tuning!$A$5:$A$19,0))</f>
        <v>220</v>
      </c>
      <c r="Q46" s="16" t="s">
        <v>49</v>
      </c>
    </row>
    <row r="47" customFormat="false" ht="30" hidden="false" customHeight="true" outlineLevel="0" collapsed="false">
      <c r="A47" s="7" t="s">
        <v>255</v>
      </c>
      <c r="B47" s="16" t="s">
        <v>256</v>
      </c>
      <c r="C47" s="17" t="s">
        <v>248</v>
      </c>
      <c r="D47" s="7" t="str">
        <f aca="false">INDEX(Tuning!$C$5:$C$19,MATCH($C47,Tuning!$A$5:$A$19,0))</f>
        <v>Human</v>
      </c>
      <c r="E47" s="16" t="s">
        <v>46</v>
      </c>
      <c r="F47" s="7" t="s">
        <v>23</v>
      </c>
      <c r="G47" s="7" t="n">
        <v>4</v>
      </c>
      <c r="H47" s="16" t="s">
        <v>257</v>
      </c>
      <c r="I47" s="16" t="s">
        <v>258</v>
      </c>
      <c r="J47" s="16"/>
      <c r="K47" s="18" t="n">
        <v>1</v>
      </c>
      <c r="L47" s="18" t="n">
        <v>1</v>
      </c>
      <c r="M47" s="19" t="n">
        <f aca="false">ROUND(INDEX(Tuning!$D$5:$D$19,MATCH($C47,Tuning!$A$5:$A$19,0))*INDEX(Tuning!$B$24:$B$29,MATCH($F47,Tuning!$A$24:$A$29,0))*K47,1)</f>
        <v>33.6</v>
      </c>
      <c r="N47" s="20" t="n">
        <f aca="false">ROUND(INDEX(Tuning!$E$5:$E$19,MATCH($C47,Tuning!$A$5:$A$19,0))*L47,2)</f>
        <v>1</v>
      </c>
      <c r="O47" s="19" t="n">
        <f aca="false">ROUND(M47*N47,1)</f>
        <v>33.6</v>
      </c>
      <c r="P47" s="7" t="n">
        <f aca="false">INDEX(Tuning!$G$5:$G$19,MATCH($C47,Tuning!$A$5:$A$19,0))</f>
        <v>220</v>
      </c>
      <c r="Q47" s="16" t="s">
        <v>259</v>
      </c>
    </row>
    <row r="48" customFormat="false" ht="16.5" hidden="false" customHeight="true" outlineLevel="0" collapsed="false">
      <c r="A48" s="7" t="s">
        <v>260</v>
      </c>
      <c r="B48" s="16" t="s">
        <v>261</v>
      </c>
      <c r="C48" s="17" t="s">
        <v>248</v>
      </c>
      <c r="D48" s="7" t="str">
        <f aca="false">INDEX(Tuning!$C$5:$C$19,MATCH($C48,Tuning!$A$5:$A$19,0))</f>
        <v>Human</v>
      </c>
      <c r="E48" s="16" t="s">
        <v>82</v>
      </c>
      <c r="F48" s="7" t="s">
        <v>24</v>
      </c>
      <c r="G48" s="7" t="n">
        <v>4</v>
      </c>
      <c r="H48" s="16" t="s">
        <v>262</v>
      </c>
      <c r="I48" s="16" t="s">
        <v>263</v>
      </c>
      <c r="J48" s="16"/>
      <c r="K48" s="18" t="n">
        <v>1</v>
      </c>
      <c r="L48" s="18" t="n">
        <v>1</v>
      </c>
      <c r="M48" s="19" t="n">
        <f aca="false">ROUND(INDEX(Tuning!$D$5:$D$19,MATCH($C48,Tuning!$A$5:$A$19,0))*INDEX(Tuning!$B$24:$B$29,MATCH($F48,Tuning!$A$24:$A$29,0))*K48,1)</f>
        <v>36</v>
      </c>
      <c r="N48" s="20" t="n">
        <f aca="false">ROUND(INDEX(Tuning!$E$5:$E$19,MATCH($C48,Tuning!$A$5:$A$19,0))*L48,2)</f>
        <v>1</v>
      </c>
      <c r="O48" s="19" t="n">
        <f aca="false">ROUND(M48*N48,1)</f>
        <v>36</v>
      </c>
      <c r="P48" s="7" t="n">
        <f aca="false">INDEX(Tuning!$G$5:$G$19,MATCH($C48,Tuning!$A$5:$A$19,0))</f>
        <v>220</v>
      </c>
      <c r="Q48" s="16" t="s">
        <v>49</v>
      </c>
    </row>
    <row r="49" customFormat="false" ht="16.5" hidden="false" customHeight="true" outlineLevel="0" collapsed="false">
      <c r="A49" s="7" t="s">
        <v>264</v>
      </c>
      <c r="B49" s="16" t="s">
        <v>265</v>
      </c>
      <c r="C49" s="17" t="s">
        <v>266</v>
      </c>
      <c r="D49" s="7" t="str">
        <f aca="false">INDEX(Tuning!$C$5:$C$19,MATCH($C49,Tuning!$A$5:$A$19,0))</f>
        <v>Human</v>
      </c>
      <c r="E49" s="16" t="s">
        <v>46</v>
      </c>
      <c r="F49" s="7" t="s">
        <v>21</v>
      </c>
      <c r="G49" s="7" t="n">
        <v>4</v>
      </c>
      <c r="H49" s="16" t="s">
        <v>267</v>
      </c>
      <c r="I49" s="16" t="s">
        <v>187</v>
      </c>
      <c r="J49" s="16"/>
      <c r="K49" s="18" t="n">
        <v>1</v>
      </c>
      <c r="L49" s="18" t="n">
        <v>1</v>
      </c>
      <c r="M49" s="19" t="n">
        <f aca="false">ROUND(INDEX(Tuning!$D$5:$D$19,MATCH($C49,Tuning!$A$5:$A$19,0))*INDEX(Tuning!$B$24:$B$29,MATCH($F49,Tuning!$A$24:$A$29,0))*K49,1)</f>
        <v>30</v>
      </c>
      <c r="N49" s="20" t="n">
        <f aca="false">ROUND(INDEX(Tuning!$E$5:$E$19,MATCH($C49,Tuning!$A$5:$A$19,0))*L49,2)</f>
        <v>0.8</v>
      </c>
      <c r="O49" s="19" t="n">
        <f aca="false">ROUND(M49*N49,1)</f>
        <v>24</v>
      </c>
      <c r="P49" s="7" t="n">
        <f aca="false">INDEX(Tuning!$G$5:$G$19,MATCH($C49,Tuning!$A$5:$A$19,0))</f>
        <v>600</v>
      </c>
      <c r="Q49" s="16" t="s">
        <v>49</v>
      </c>
    </row>
    <row r="50" customFormat="false" ht="30" hidden="false" customHeight="true" outlineLevel="0" collapsed="false">
      <c r="A50" s="7" t="s">
        <v>268</v>
      </c>
      <c r="B50" s="16" t="s">
        <v>269</v>
      </c>
      <c r="C50" s="17" t="s">
        <v>266</v>
      </c>
      <c r="D50" s="7" t="str">
        <f aca="false">INDEX(Tuning!$C$5:$C$19,MATCH($C50,Tuning!$A$5:$A$19,0))</f>
        <v>Human</v>
      </c>
      <c r="E50" s="16" t="s">
        <v>46</v>
      </c>
      <c r="F50" s="7" t="s">
        <v>24</v>
      </c>
      <c r="G50" s="7" t="n">
        <v>4</v>
      </c>
      <c r="H50" s="16" t="s">
        <v>270</v>
      </c>
      <c r="I50" s="16" t="s">
        <v>271</v>
      </c>
      <c r="J50" s="16"/>
      <c r="K50" s="18" t="n">
        <v>1</v>
      </c>
      <c r="L50" s="18" t="n">
        <v>1</v>
      </c>
      <c r="M50" s="19" t="n">
        <f aca="false">ROUND(INDEX(Tuning!$D$5:$D$19,MATCH($C50,Tuning!$A$5:$A$19,0))*INDEX(Tuning!$B$24:$B$29,MATCH($F50,Tuning!$A$24:$A$29,0))*K50,1)</f>
        <v>36</v>
      </c>
      <c r="N50" s="20" t="n">
        <f aca="false">ROUND(INDEX(Tuning!$E$5:$E$19,MATCH($C50,Tuning!$A$5:$A$19,0))*L50,2)</f>
        <v>0.8</v>
      </c>
      <c r="O50" s="19" t="n">
        <f aca="false">ROUND(M50*N50,1)</f>
        <v>28.8</v>
      </c>
      <c r="P50" s="7" t="n">
        <f aca="false">INDEX(Tuning!$G$5:$G$19,MATCH($C50,Tuning!$A$5:$A$19,0))</f>
        <v>600</v>
      </c>
      <c r="Q50" s="16" t="s">
        <v>272</v>
      </c>
    </row>
    <row r="51" customFormat="false" ht="30" hidden="false" customHeight="true" outlineLevel="0" collapsed="false">
      <c r="A51" s="7" t="s">
        <v>273</v>
      </c>
      <c r="B51" s="16" t="s">
        <v>274</v>
      </c>
      <c r="C51" s="17" t="s">
        <v>266</v>
      </c>
      <c r="D51" s="7" t="str">
        <f aca="false">INDEX(Tuning!$C$5:$C$19,MATCH($C51,Tuning!$A$5:$A$19,0))</f>
        <v>Human</v>
      </c>
      <c r="E51" s="16" t="s">
        <v>168</v>
      </c>
      <c r="F51" s="7" t="s">
        <v>24</v>
      </c>
      <c r="G51" s="7" t="n">
        <v>4</v>
      </c>
      <c r="H51" s="16" t="s">
        <v>275</v>
      </c>
      <c r="I51" s="16" t="s">
        <v>276</v>
      </c>
      <c r="J51" s="16"/>
      <c r="K51" s="18" t="n">
        <v>1</v>
      </c>
      <c r="L51" s="18" t="n">
        <v>1</v>
      </c>
      <c r="M51" s="19" t="n">
        <f aca="false">ROUND(INDEX(Tuning!$D$5:$D$19,MATCH($C51,Tuning!$A$5:$A$19,0))*INDEX(Tuning!$B$24:$B$29,MATCH($F51,Tuning!$A$24:$A$29,0))*K51,1)</f>
        <v>36</v>
      </c>
      <c r="N51" s="20" t="n">
        <f aca="false">ROUND(INDEX(Tuning!$E$5:$E$19,MATCH($C51,Tuning!$A$5:$A$19,0))*L51,2)</f>
        <v>0.8</v>
      </c>
      <c r="O51" s="19" t="n">
        <f aca="false">ROUND(M51*N51,1)</f>
        <v>28.8</v>
      </c>
      <c r="P51" s="7" t="n">
        <f aca="false">INDEX(Tuning!$G$5:$G$19,MATCH($C51,Tuning!$A$5:$A$19,0))</f>
        <v>600</v>
      </c>
      <c r="Q51" s="16" t="s">
        <v>277</v>
      </c>
    </row>
    <row r="52" customFormat="false" ht="30" hidden="false" customHeight="true" outlineLevel="0" collapsed="false">
      <c r="A52" s="7" t="s">
        <v>278</v>
      </c>
      <c r="B52" s="16" t="s">
        <v>279</v>
      </c>
      <c r="C52" s="17" t="s">
        <v>266</v>
      </c>
      <c r="D52" s="7" t="str">
        <f aca="false">INDEX(Tuning!$C$5:$C$19,MATCH($C52,Tuning!$A$5:$A$19,0))</f>
        <v>Human</v>
      </c>
      <c r="E52" s="16" t="s">
        <v>46</v>
      </c>
      <c r="F52" s="7" t="s">
        <v>25</v>
      </c>
      <c r="G52" s="7" t="n">
        <v>4</v>
      </c>
      <c r="H52" s="16" t="s">
        <v>280</v>
      </c>
      <c r="I52" s="16" t="s">
        <v>263</v>
      </c>
      <c r="J52" s="16"/>
      <c r="K52" s="18" t="n">
        <v>1</v>
      </c>
      <c r="L52" s="18" t="n">
        <v>1</v>
      </c>
      <c r="M52" s="19" t="n">
        <f aca="false">ROUND(INDEX(Tuning!$D$5:$D$19,MATCH($C52,Tuning!$A$5:$A$19,0))*INDEX(Tuning!$B$24:$B$29,MATCH($F52,Tuning!$A$24:$A$29,0))*K52,1)</f>
        <v>39</v>
      </c>
      <c r="N52" s="20" t="n">
        <f aca="false">ROUND(INDEX(Tuning!$E$5:$E$19,MATCH($C52,Tuning!$A$5:$A$19,0))*L52,2)</f>
        <v>0.8</v>
      </c>
      <c r="O52" s="19" t="n">
        <f aca="false">ROUND(M52*N52,1)</f>
        <v>31.2</v>
      </c>
      <c r="P52" s="7" t="n">
        <f aca="false">INDEX(Tuning!$G$5:$G$19,MATCH($C52,Tuning!$A$5:$A$19,0))</f>
        <v>600</v>
      </c>
      <c r="Q52" s="16" t="s">
        <v>281</v>
      </c>
    </row>
    <row r="53" customFormat="false" ht="30" hidden="false" customHeight="true" outlineLevel="0" collapsed="false">
      <c r="A53" s="7" t="s">
        <v>282</v>
      </c>
      <c r="B53" s="16" t="s">
        <v>283</v>
      </c>
      <c r="C53" s="17" t="s">
        <v>266</v>
      </c>
      <c r="D53" s="7" t="str">
        <f aca="false">INDEX(Tuning!$C$5:$C$19,MATCH($C53,Tuning!$A$5:$A$19,0))</f>
        <v>Human</v>
      </c>
      <c r="E53" s="16" t="s">
        <v>168</v>
      </c>
      <c r="F53" s="7" t="s">
        <v>25</v>
      </c>
      <c r="G53" s="7" t="n">
        <v>4</v>
      </c>
      <c r="H53" s="16" t="s">
        <v>284</v>
      </c>
      <c r="I53" s="16" t="s">
        <v>285</v>
      </c>
      <c r="J53" s="16"/>
      <c r="K53" s="18" t="n">
        <v>1</v>
      </c>
      <c r="L53" s="18" t="n">
        <v>1</v>
      </c>
      <c r="M53" s="19" t="n">
        <f aca="false">ROUND(INDEX(Tuning!$D$5:$D$19,MATCH($C53,Tuning!$A$5:$A$19,0))*INDEX(Tuning!$B$24:$B$29,MATCH($F53,Tuning!$A$24:$A$29,0))*K53,1)</f>
        <v>39</v>
      </c>
      <c r="N53" s="20" t="n">
        <f aca="false">ROUND(INDEX(Tuning!$E$5:$E$19,MATCH($C53,Tuning!$A$5:$A$19,0))*L53,2)</f>
        <v>0.8</v>
      </c>
      <c r="O53" s="19" t="n">
        <f aca="false">ROUND(M53*N53,1)</f>
        <v>31.2</v>
      </c>
      <c r="P53" s="7" t="n">
        <f aca="false">INDEX(Tuning!$G$5:$G$19,MATCH($C53,Tuning!$A$5:$A$19,0))</f>
        <v>600</v>
      </c>
      <c r="Q53" s="16" t="s">
        <v>286</v>
      </c>
    </row>
    <row r="54" customFormat="false" ht="16.5" hidden="false" customHeight="true" outlineLevel="0" collapsed="false">
      <c r="A54" s="7" t="s">
        <v>287</v>
      </c>
      <c r="B54" s="16" t="s">
        <v>288</v>
      </c>
      <c r="C54" s="17" t="s">
        <v>289</v>
      </c>
      <c r="D54" s="7" t="str">
        <f aca="false">INDEX(Tuning!$C$5:$C$19,MATCH($C54,Tuning!$A$5:$A$19,0))</f>
        <v>Demon</v>
      </c>
      <c r="E54" s="16" t="s">
        <v>46</v>
      </c>
      <c r="F54" s="7" t="s">
        <v>21</v>
      </c>
      <c r="G54" s="7" t="n">
        <v>4</v>
      </c>
      <c r="H54" s="16" t="s">
        <v>290</v>
      </c>
      <c r="I54" s="16" t="s">
        <v>187</v>
      </c>
      <c r="J54" s="16"/>
      <c r="K54" s="18" t="n">
        <v>1</v>
      </c>
      <c r="L54" s="18" t="n">
        <v>1</v>
      </c>
      <c r="M54" s="19" t="n">
        <f aca="false">ROUND(INDEX(Tuning!$D$5:$D$19,MATCH($C54,Tuning!$A$5:$A$19,0))*INDEX(Tuning!$B$24:$B$29,MATCH($F54,Tuning!$A$24:$A$29,0))*K54,1)</f>
        <v>7</v>
      </c>
      <c r="N54" s="20" t="n">
        <f aca="false">ROUND(INDEX(Tuning!$E$5:$E$19,MATCH($C54,Tuning!$A$5:$A$19,0))*L54,2)</f>
        <v>3.5</v>
      </c>
      <c r="O54" s="19" t="n">
        <f aca="false">ROUND(M54*N54,1)</f>
        <v>24.5</v>
      </c>
      <c r="P54" s="7" t="n">
        <f aca="false">INDEX(Tuning!$G$5:$G$19,MATCH($C54,Tuning!$A$5:$A$19,0))</f>
        <v>45</v>
      </c>
      <c r="Q54" s="16" t="s">
        <v>291</v>
      </c>
    </row>
    <row r="55" customFormat="false" ht="30" hidden="false" customHeight="true" outlineLevel="0" collapsed="false">
      <c r="A55" s="7" t="s">
        <v>292</v>
      </c>
      <c r="B55" s="16" t="s">
        <v>293</v>
      </c>
      <c r="C55" s="17" t="s">
        <v>289</v>
      </c>
      <c r="D55" s="7" t="str">
        <f aca="false">INDEX(Tuning!$C$5:$C$19,MATCH($C55,Tuning!$A$5:$A$19,0))</f>
        <v>Demon</v>
      </c>
      <c r="E55" s="16" t="s">
        <v>46</v>
      </c>
      <c r="F55" s="7" t="s">
        <v>22</v>
      </c>
      <c r="G55" s="7" t="n">
        <v>4</v>
      </c>
      <c r="H55" s="16" t="s">
        <v>294</v>
      </c>
      <c r="I55" s="16" t="s">
        <v>271</v>
      </c>
      <c r="J55" s="16"/>
      <c r="K55" s="18" t="n">
        <v>1</v>
      </c>
      <c r="L55" s="18" t="n">
        <v>1</v>
      </c>
      <c r="M55" s="19" t="n">
        <f aca="false">ROUND(INDEX(Tuning!$D$5:$D$19,MATCH($C55,Tuning!$A$5:$A$19,0))*INDEX(Tuning!$B$24:$B$29,MATCH($F55,Tuning!$A$24:$A$29,0))*K55,1)</f>
        <v>7.4</v>
      </c>
      <c r="N55" s="20" t="n">
        <f aca="false">ROUND(INDEX(Tuning!$E$5:$E$19,MATCH($C55,Tuning!$A$5:$A$19,0))*L55,2)</f>
        <v>3.5</v>
      </c>
      <c r="O55" s="19" t="n">
        <f aca="false">ROUND(M55*N55,1)</f>
        <v>25.9</v>
      </c>
      <c r="P55" s="7" t="n">
        <f aca="false">INDEX(Tuning!$G$5:$G$19,MATCH($C55,Tuning!$A$5:$A$19,0))</f>
        <v>45</v>
      </c>
      <c r="Q55" s="16" t="s">
        <v>54</v>
      </c>
    </row>
    <row r="56" customFormat="false" ht="16.5" hidden="false" customHeight="true" outlineLevel="0" collapsed="false">
      <c r="A56" s="7" t="s">
        <v>295</v>
      </c>
      <c r="B56" s="16" t="s">
        <v>296</v>
      </c>
      <c r="C56" s="17" t="s">
        <v>289</v>
      </c>
      <c r="D56" s="7" t="str">
        <f aca="false">INDEX(Tuning!$C$5:$C$19,MATCH($C56,Tuning!$A$5:$A$19,0))</f>
        <v>Demon</v>
      </c>
      <c r="E56" s="16" t="s">
        <v>46</v>
      </c>
      <c r="F56" s="7" t="s">
        <v>23</v>
      </c>
      <c r="G56" s="7" t="n">
        <v>4</v>
      </c>
      <c r="H56" s="16" t="s">
        <v>297</v>
      </c>
      <c r="I56" s="16" t="s">
        <v>298</v>
      </c>
      <c r="J56" s="16"/>
      <c r="K56" s="18" t="n">
        <v>1</v>
      </c>
      <c r="L56" s="18" t="n">
        <v>1</v>
      </c>
      <c r="M56" s="19" t="n">
        <f aca="false">ROUND(INDEX(Tuning!$D$5:$D$19,MATCH($C56,Tuning!$A$5:$A$19,0))*INDEX(Tuning!$B$24:$B$29,MATCH($F56,Tuning!$A$24:$A$29,0))*K56,1)</f>
        <v>7.8</v>
      </c>
      <c r="N56" s="20" t="n">
        <f aca="false">ROUND(INDEX(Tuning!$E$5:$E$19,MATCH($C56,Tuning!$A$5:$A$19,0))*L56,2)</f>
        <v>3.5</v>
      </c>
      <c r="O56" s="19" t="n">
        <f aca="false">ROUND(M56*N56,1)</f>
        <v>27.3</v>
      </c>
      <c r="P56" s="7" t="n">
        <f aca="false">INDEX(Tuning!$G$5:$G$19,MATCH($C56,Tuning!$A$5:$A$19,0))</f>
        <v>45</v>
      </c>
      <c r="Q56" s="16" t="s">
        <v>54</v>
      </c>
    </row>
    <row r="57" customFormat="false" ht="30" hidden="false" customHeight="true" outlineLevel="0" collapsed="false">
      <c r="A57" s="7" t="s">
        <v>299</v>
      </c>
      <c r="B57" s="16" t="s">
        <v>300</v>
      </c>
      <c r="C57" s="17" t="s">
        <v>289</v>
      </c>
      <c r="D57" s="7" t="str">
        <f aca="false">INDEX(Tuning!$C$5:$C$19,MATCH($C57,Tuning!$A$5:$A$19,0))</f>
        <v>Demon</v>
      </c>
      <c r="E57" s="16" t="s">
        <v>46</v>
      </c>
      <c r="F57" s="7" t="s">
        <v>24</v>
      </c>
      <c r="G57" s="7" t="n">
        <v>4</v>
      </c>
      <c r="H57" s="16" t="s">
        <v>301</v>
      </c>
      <c r="I57" s="16" t="s">
        <v>263</v>
      </c>
      <c r="J57" s="16"/>
      <c r="K57" s="18" t="n">
        <v>1</v>
      </c>
      <c r="L57" s="18" t="n">
        <v>1</v>
      </c>
      <c r="M57" s="19" t="n">
        <f aca="false">ROUND(INDEX(Tuning!$D$5:$D$19,MATCH($C57,Tuning!$A$5:$A$19,0))*INDEX(Tuning!$B$24:$B$29,MATCH($F57,Tuning!$A$24:$A$29,0))*K57,1)</f>
        <v>8.4</v>
      </c>
      <c r="N57" s="20" t="n">
        <f aca="false">ROUND(INDEX(Tuning!$E$5:$E$19,MATCH($C57,Tuning!$A$5:$A$19,0))*L57,2)</f>
        <v>3.5</v>
      </c>
      <c r="O57" s="19" t="n">
        <f aca="false">ROUND(M57*N57,1)</f>
        <v>29.4</v>
      </c>
      <c r="P57" s="7" t="n">
        <f aca="false">INDEX(Tuning!$G$5:$G$19,MATCH($C57,Tuning!$A$5:$A$19,0))</f>
        <v>45</v>
      </c>
      <c r="Q57" s="16" t="s">
        <v>302</v>
      </c>
    </row>
    <row r="58" customFormat="false" ht="30" hidden="false" customHeight="true" outlineLevel="0" collapsed="false">
      <c r="A58" s="7" t="s">
        <v>303</v>
      </c>
      <c r="B58" s="16" t="s">
        <v>304</v>
      </c>
      <c r="C58" s="17" t="s">
        <v>289</v>
      </c>
      <c r="D58" s="7" t="str">
        <f aca="false">INDEX(Tuning!$C$5:$C$19,MATCH($C58,Tuning!$A$5:$A$19,0))</f>
        <v>Demon</v>
      </c>
      <c r="E58" s="16" t="s">
        <v>82</v>
      </c>
      <c r="F58" s="7" t="s">
        <v>24</v>
      </c>
      <c r="G58" s="7" t="n">
        <v>4</v>
      </c>
      <c r="H58" s="16" t="s">
        <v>305</v>
      </c>
      <c r="I58" s="16" t="s">
        <v>271</v>
      </c>
      <c r="J58" s="16"/>
      <c r="K58" s="18" t="n">
        <v>1</v>
      </c>
      <c r="L58" s="18" t="n">
        <v>1</v>
      </c>
      <c r="M58" s="19" t="n">
        <f aca="false">ROUND(INDEX(Tuning!$D$5:$D$19,MATCH($C58,Tuning!$A$5:$A$19,0))*INDEX(Tuning!$B$24:$B$29,MATCH($F58,Tuning!$A$24:$A$29,0))*K58,1)</f>
        <v>8.4</v>
      </c>
      <c r="N58" s="20" t="n">
        <f aca="false">ROUND(INDEX(Tuning!$E$5:$E$19,MATCH($C58,Tuning!$A$5:$A$19,0))*L58,2)</f>
        <v>3.5</v>
      </c>
      <c r="O58" s="19" t="n">
        <f aca="false">ROUND(M58*N58,1)</f>
        <v>29.4</v>
      </c>
      <c r="P58" s="7" t="n">
        <f aca="false">INDEX(Tuning!$G$5:$G$19,MATCH($C58,Tuning!$A$5:$A$19,0))</f>
        <v>45</v>
      </c>
      <c r="Q58" s="16" t="s">
        <v>306</v>
      </c>
    </row>
    <row r="59" customFormat="false" ht="30" hidden="false" customHeight="true" outlineLevel="0" collapsed="false">
      <c r="A59" s="7" t="s">
        <v>307</v>
      </c>
      <c r="B59" s="16" t="s">
        <v>308</v>
      </c>
      <c r="C59" s="17" t="s">
        <v>289</v>
      </c>
      <c r="D59" s="7" t="str">
        <f aca="false">INDEX(Tuning!$C$5:$C$19,MATCH($C59,Tuning!$A$5:$A$19,0))</f>
        <v>Demon</v>
      </c>
      <c r="E59" s="16" t="s">
        <v>46</v>
      </c>
      <c r="F59" s="7" t="s">
        <v>25</v>
      </c>
      <c r="G59" s="7" t="n">
        <v>4</v>
      </c>
      <c r="H59" s="16" t="s">
        <v>309</v>
      </c>
      <c r="I59" s="16" t="s">
        <v>276</v>
      </c>
      <c r="J59" s="16"/>
      <c r="K59" s="18" t="n">
        <v>1</v>
      </c>
      <c r="L59" s="18" t="n">
        <v>1</v>
      </c>
      <c r="M59" s="19" t="n">
        <f aca="false">ROUND(INDEX(Tuning!$D$5:$D$19,MATCH($C59,Tuning!$A$5:$A$19,0))*INDEX(Tuning!$B$24:$B$29,MATCH($F59,Tuning!$A$24:$A$29,0))*K59,1)</f>
        <v>9.1</v>
      </c>
      <c r="N59" s="20" t="n">
        <f aca="false">ROUND(INDEX(Tuning!$E$5:$E$19,MATCH($C59,Tuning!$A$5:$A$19,0))*L59,2)</f>
        <v>3.5</v>
      </c>
      <c r="O59" s="19" t="n">
        <f aca="false">ROUND(M59*N59,1)</f>
        <v>31.9</v>
      </c>
      <c r="P59" s="7" t="n">
        <f aca="false">INDEX(Tuning!$G$5:$G$19,MATCH($C59,Tuning!$A$5:$A$19,0))</f>
        <v>45</v>
      </c>
      <c r="Q59" s="16" t="s">
        <v>310</v>
      </c>
    </row>
    <row r="60" customFormat="false" ht="30" hidden="false" customHeight="true" outlineLevel="0" collapsed="false">
      <c r="A60" s="7" t="s">
        <v>311</v>
      </c>
      <c r="B60" s="16" t="s">
        <v>312</v>
      </c>
      <c r="C60" s="17" t="s">
        <v>289</v>
      </c>
      <c r="D60" s="7" t="str">
        <f aca="false">INDEX(Tuning!$C$5:$C$19,MATCH($C60,Tuning!$A$5:$A$19,0))</f>
        <v>Demon</v>
      </c>
      <c r="E60" s="16" t="s">
        <v>46</v>
      </c>
      <c r="F60" s="7" t="s">
        <v>25</v>
      </c>
      <c r="G60" s="7" t="n">
        <v>4</v>
      </c>
      <c r="H60" s="16" t="s">
        <v>313</v>
      </c>
      <c r="I60" s="16" t="s">
        <v>263</v>
      </c>
      <c r="J60" s="16"/>
      <c r="K60" s="18" t="n">
        <v>1</v>
      </c>
      <c r="L60" s="18" t="n">
        <v>1</v>
      </c>
      <c r="M60" s="19" t="n">
        <f aca="false">ROUND(INDEX(Tuning!$D$5:$D$19,MATCH($C60,Tuning!$A$5:$A$19,0))*INDEX(Tuning!$B$24:$B$29,MATCH($F60,Tuning!$A$24:$A$29,0))*K60,1)</f>
        <v>9.1</v>
      </c>
      <c r="N60" s="20" t="n">
        <f aca="false">ROUND(INDEX(Tuning!$E$5:$E$19,MATCH($C60,Tuning!$A$5:$A$19,0))*L60,2)</f>
        <v>3.5</v>
      </c>
      <c r="O60" s="19" t="n">
        <f aca="false">ROUND(M60*N60,1)</f>
        <v>31.9</v>
      </c>
      <c r="P60" s="7" t="n">
        <f aca="false">INDEX(Tuning!$G$5:$G$19,MATCH($C60,Tuning!$A$5:$A$19,0))</f>
        <v>45</v>
      </c>
      <c r="Q60" s="16" t="s">
        <v>314</v>
      </c>
    </row>
    <row r="61" customFormat="false" ht="16.5" hidden="false" customHeight="true" outlineLevel="0" collapsed="false">
      <c r="A61" s="7" t="s">
        <v>315</v>
      </c>
      <c r="B61" s="16" t="s">
        <v>316</v>
      </c>
      <c r="C61" s="17" t="s">
        <v>317</v>
      </c>
      <c r="D61" s="7" t="str">
        <f aca="false">INDEX(Tuning!$C$5:$C$19,MATCH($C61,Tuning!$A$5:$A$19,0))</f>
        <v>God</v>
      </c>
      <c r="E61" s="16" t="s">
        <v>77</v>
      </c>
      <c r="F61" s="7" t="s">
        <v>21</v>
      </c>
      <c r="G61" s="7" t="n">
        <v>4</v>
      </c>
      <c r="H61" s="16" t="s">
        <v>318</v>
      </c>
      <c r="I61" s="16" t="s">
        <v>187</v>
      </c>
      <c r="J61" s="16"/>
      <c r="K61" s="18" t="n">
        <v>1</v>
      </c>
      <c r="L61" s="18" t="n">
        <v>1</v>
      </c>
      <c r="M61" s="19" t="n">
        <f aca="false">ROUND(INDEX(Tuning!$D$5:$D$19,MATCH($C61,Tuning!$A$5:$A$19,0))*INDEX(Tuning!$B$24:$B$29,MATCH($F61,Tuning!$A$24:$A$29,0))*K61,1)</f>
        <v>6</v>
      </c>
      <c r="N61" s="20" t="n">
        <f aca="false">ROUND(INDEX(Tuning!$E$5:$E$19,MATCH($C61,Tuning!$A$5:$A$19,0))*L61,2)</f>
        <v>4</v>
      </c>
      <c r="O61" s="19" t="n">
        <f aca="false">ROUND(M61*N61,1)</f>
        <v>24</v>
      </c>
      <c r="P61" s="7" t="n">
        <f aca="false">INDEX(Tuning!$G$5:$G$19,MATCH($C61,Tuning!$A$5:$A$19,0))</f>
        <v>90</v>
      </c>
      <c r="Q61" s="16" t="s">
        <v>49</v>
      </c>
    </row>
    <row r="62" customFormat="false" ht="16.5" hidden="false" customHeight="true" outlineLevel="0" collapsed="false">
      <c r="A62" s="7" t="s">
        <v>319</v>
      </c>
      <c r="B62" s="16" t="s">
        <v>320</v>
      </c>
      <c r="C62" s="17" t="s">
        <v>317</v>
      </c>
      <c r="D62" s="7" t="str">
        <f aca="false">INDEX(Tuning!$C$5:$C$19,MATCH($C62,Tuning!$A$5:$A$19,0))</f>
        <v>God</v>
      </c>
      <c r="E62" s="16" t="s">
        <v>46</v>
      </c>
      <c r="F62" s="7" t="s">
        <v>22</v>
      </c>
      <c r="G62" s="7" t="n">
        <v>4</v>
      </c>
      <c r="H62" s="16" t="s">
        <v>321</v>
      </c>
      <c r="I62" s="16" t="s">
        <v>271</v>
      </c>
      <c r="J62" s="16"/>
      <c r="K62" s="18" t="n">
        <v>1</v>
      </c>
      <c r="L62" s="18" t="n">
        <v>1</v>
      </c>
      <c r="M62" s="19" t="n">
        <f aca="false">ROUND(INDEX(Tuning!$D$5:$D$19,MATCH($C62,Tuning!$A$5:$A$19,0))*INDEX(Tuning!$B$24:$B$29,MATCH($F62,Tuning!$A$24:$A$29,0))*K62,1)</f>
        <v>6.4</v>
      </c>
      <c r="N62" s="20" t="n">
        <f aca="false">ROUND(INDEX(Tuning!$E$5:$E$19,MATCH($C62,Tuning!$A$5:$A$19,0))*L62,2)</f>
        <v>4</v>
      </c>
      <c r="O62" s="19" t="n">
        <f aca="false">ROUND(M62*N62,1)</f>
        <v>25.6</v>
      </c>
      <c r="P62" s="7" t="n">
        <f aca="false">INDEX(Tuning!$G$5:$G$19,MATCH($C62,Tuning!$A$5:$A$19,0))</f>
        <v>90</v>
      </c>
      <c r="Q62" s="16" t="s">
        <v>322</v>
      </c>
    </row>
    <row r="63" customFormat="false" ht="30" hidden="false" customHeight="true" outlineLevel="0" collapsed="false">
      <c r="A63" s="7" t="s">
        <v>323</v>
      </c>
      <c r="B63" s="16" t="s">
        <v>324</v>
      </c>
      <c r="C63" s="17" t="s">
        <v>317</v>
      </c>
      <c r="D63" s="7" t="str">
        <f aca="false">INDEX(Tuning!$C$5:$C$19,MATCH($C63,Tuning!$A$5:$A$19,0))</f>
        <v>God</v>
      </c>
      <c r="E63" s="16" t="s">
        <v>77</v>
      </c>
      <c r="F63" s="7" t="s">
        <v>23</v>
      </c>
      <c r="G63" s="7" t="n">
        <v>4</v>
      </c>
      <c r="H63" s="16" t="s">
        <v>325</v>
      </c>
      <c r="I63" s="16" t="s">
        <v>298</v>
      </c>
      <c r="J63" s="16"/>
      <c r="K63" s="18" t="n">
        <v>1</v>
      </c>
      <c r="L63" s="18" t="n">
        <v>1</v>
      </c>
      <c r="M63" s="19" t="n">
        <f aca="false">ROUND(INDEX(Tuning!$D$5:$D$19,MATCH($C63,Tuning!$A$5:$A$19,0))*INDEX(Tuning!$B$24:$B$29,MATCH($F63,Tuning!$A$24:$A$29,0))*K63,1)</f>
        <v>6.7</v>
      </c>
      <c r="N63" s="20" t="n">
        <f aca="false">ROUND(INDEX(Tuning!$E$5:$E$19,MATCH($C63,Tuning!$A$5:$A$19,0))*L63,2)</f>
        <v>4</v>
      </c>
      <c r="O63" s="19" t="n">
        <f aca="false">ROUND(M63*N63,1)</f>
        <v>26.8</v>
      </c>
      <c r="P63" s="7" t="n">
        <f aca="false">INDEX(Tuning!$G$5:$G$19,MATCH($C63,Tuning!$A$5:$A$19,0))</f>
        <v>90</v>
      </c>
      <c r="Q63" s="16" t="s">
        <v>326</v>
      </c>
    </row>
    <row r="64" customFormat="false" ht="30" hidden="false" customHeight="true" outlineLevel="0" collapsed="false">
      <c r="A64" s="7" t="s">
        <v>327</v>
      </c>
      <c r="B64" s="16" t="s">
        <v>328</v>
      </c>
      <c r="C64" s="17" t="s">
        <v>317</v>
      </c>
      <c r="D64" s="7" t="str">
        <f aca="false">INDEX(Tuning!$C$5:$C$19,MATCH($C64,Tuning!$A$5:$A$19,0))</f>
        <v>God</v>
      </c>
      <c r="E64" s="16" t="s">
        <v>168</v>
      </c>
      <c r="F64" s="7" t="s">
        <v>24</v>
      </c>
      <c r="G64" s="7" t="n">
        <v>4</v>
      </c>
      <c r="H64" s="16" t="s">
        <v>329</v>
      </c>
      <c r="I64" s="16" t="s">
        <v>276</v>
      </c>
      <c r="J64" s="16"/>
      <c r="K64" s="18" t="n">
        <v>1</v>
      </c>
      <c r="L64" s="18" t="n">
        <v>1</v>
      </c>
      <c r="M64" s="19" t="n">
        <f aca="false">ROUND(INDEX(Tuning!$D$5:$D$19,MATCH($C64,Tuning!$A$5:$A$19,0))*INDEX(Tuning!$B$24:$B$29,MATCH($F64,Tuning!$A$24:$A$29,0))*K64,1)</f>
        <v>7.2</v>
      </c>
      <c r="N64" s="20" t="n">
        <f aca="false">ROUND(INDEX(Tuning!$E$5:$E$19,MATCH($C64,Tuning!$A$5:$A$19,0))*L64,2)</f>
        <v>4</v>
      </c>
      <c r="O64" s="19" t="n">
        <f aca="false">ROUND(M64*N64,1)</f>
        <v>28.8</v>
      </c>
      <c r="P64" s="7" t="n">
        <f aca="false">INDEX(Tuning!$G$5:$G$19,MATCH($C64,Tuning!$A$5:$A$19,0))</f>
        <v>90</v>
      </c>
      <c r="Q64" s="16" t="s">
        <v>330</v>
      </c>
    </row>
    <row r="65" customFormat="false" ht="16.5" hidden="false" customHeight="true" outlineLevel="0" collapsed="false">
      <c r="A65" s="7" t="s">
        <v>331</v>
      </c>
      <c r="B65" s="16" t="s">
        <v>332</v>
      </c>
      <c r="C65" s="17" t="s">
        <v>333</v>
      </c>
      <c r="D65" s="7" t="str">
        <f aca="false">INDEX(Tuning!$C$5:$C$19,MATCH($C65,Tuning!$A$5:$A$19,0))</f>
        <v>Alien</v>
      </c>
      <c r="E65" s="16" t="s">
        <v>168</v>
      </c>
      <c r="F65" s="7" t="s">
        <v>21</v>
      </c>
      <c r="G65" s="7" t="n">
        <v>4</v>
      </c>
      <c r="H65" s="16" t="s">
        <v>334</v>
      </c>
      <c r="I65" s="16" t="s">
        <v>187</v>
      </c>
      <c r="J65" s="16"/>
      <c r="K65" s="18" t="n">
        <v>1</v>
      </c>
      <c r="L65" s="18" t="n">
        <v>1</v>
      </c>
      <c r="M65" s="19" t="n">
        <f aca="false">ROUND(INDEX(Tuning!$D$5:$D$19,MATCH($C65,Tuning!$A$5:$A$19,0))*INDEX(Tuning!$B$24:$B$29,MATCH($F65,Tuning!$A$24:$A$29,0))*K65,1)</f>
        <v>12</v>
      </c>
      <c r="N65" s="20" t="n">
        <f aca="false">ROUND(INDEX(Tuning!$E$5:$E$19,MATCH($C65,Tuning!$A$5:$A$19,0))*L65,2)</f>
        <v>0.9</v>
      </c>
      <c r="O65" s="19" t="n">
        <f aca="false">ROUND(M65*N65,1)</f>
        <v>10.8</v>
      </c>
      <c r="P65" s="7" t="n">
        <f aca="false">INDEX(Tuning!$G$5:$G$19,MATCH($C65,Tuning!$A$5:$A$19,0))</f>
        <v>300</v>
      </c>
      <c r="Q65" s="16" t="s">
        <v>49</v>
      </c>
    </row>
    <row r="66" customFormat="false" ht="16.5" hidden="false" customHeight="true" outlineLevel="0" collapsed="false">
      <c r="A66" s="7" t="s">
        <v>335</v>
      </c>
      <c r="B66" s="16" t="s">
        <v>336</v>
      </c>
      <c r="C66" s="17" t="s">
        <v>333</v>
      </c>
      <c r="D66" s="7" t="str">
        <f aca="false">INDEX(Tuning!$C$5:$C$19,MATCH($C66,Tuning!$A$5:$A$19,0))</f>
        <v>Alien</v>
      </c>
      <c r="E66" s="16" t="s">
        <v>168</v>
      </c>
      <c r="F66" s="7" t="s">
        <v>22</v>
      </c>
      <c r="G66" s="7" t="n">
        <v>4</v>
      </c>
      <c r="H66" s="16" t="s">
        <v>337</v>
      </c>
      <c r="I66" s="16" t="s">
        <v>338</v>
      </c>
      <c r="J66" s="16"/>
      <c r="K66" s="18" t="n">
        <v>1</v>
      </c>
      <c r="L66" s="18" t="n">
        <v>1</v>
      </c>
      <c r="M66" s="19" t="n">
        <f aca="false">ROUND(INDEX(Tuning!$D$5:$D$19,MATCH($C66,Tuning!$A$5:$A$19,0))*INDEX(Tuning!$B$24:$B$29,MATCH($F66,Tuning!$A$24:$A$29,0))*K66,1)</f>
        <v>12.7</v>
      </c>
      <c r="N66" s="20" t="n">
        <f aca="false">ROUND(INDEX(Tuning!$E$5:$E$19,MATCH($C66,Tuning!$A$5:$A$19,0))*L66,2)</f>
        <v>0.9</v>
      </c>
      <c r="O66" s="19" t="n">
        <f aca="false">ROUND(M66*N66,1)</f>
        <v>11.4</v>
      </c>
      <c r="P66" s="7" t="n">
        <f aca="false">INDEX(Tuning!$G$5:$G$19,MATCH($C66,Tuning!$A$5:$A$19,0))</f>
        <v>300</v>
      </c>
      <c r="Q66" s="16" t="s">
        <v>49</v>
      </c>
    </row>
    <row r="67" customFormat="false" ht="16.5" hidden="false" customHeight="true" outlineLevel="0" collapsed="false">
      <c r="A67" s="7" t="s">
        <v>339</v>
      </c>
      <c r="B67" s="16" t="s">
        <v>340</v>
      </c>
      <c r="C67" s="17" t="s">
        <v>333</v>
      </c>
      <c r="D67" s="7" t="str">
        <f aca="false">INDEX(Tuning!$C$5:$C$19,MATCH($C67,Tuning!$A$5:$A$19,0))</f>
        <v>Alien</v>
      </c>
      <c r="E67" s="16" t="s">
        <v>168</v>
      </c>
      <c r="F67" s="7" t="s">
        <v>23</v>
      </c>
      <c r="G67" s="7" t="n">
        <v>4</v>
      </c>
      <c r="H67" s="16" t="s">
        <v>341</v>
      </c>
      <c r="I67" s="16" t="s">
        <v>258</v>
      </c>
      <c r="J67" s="16"/>
      <c r="K67" s="18" t="n">
        <v>1</v>
      </c>
      <c r="L67" s="18" t="n">
        <v>1</v>
      </c>
      <c r="M67" s="19" t="n">
        <f aca="false">ROUND(INDEX(Tuning!$D$5:$D$19,MATCH($C67,Tuning!$A$5:$A$19,0))*INDEX(Tuning!$B$24:$B$29,MATCH($F67,Tuning!$A$24:$A$29,0))*K67,1)</f>
        <v>13.4</v>
      </c>
      <c r="N67" s="20" t="n">
        <f aca="false">ROUND(INDEX(Tuning!$E$5:$E$19,MATCH($C67,Tuning!$A$5:$A$19,0))*L67,2)</f>
        <v>0.9</v>
      </c>
      <c r="O67" s="19" t="n">
        <f aca="false">ROUND(M67*N67,1)</f>
        <v>12.1</v>
      </c>
      <c r="P67" s="7" t="n">
        <f aca="false">INDEX(Tuning!$G$5:$G$19,MATCH($C67,Tuning!$A$5:$A$19,0))</f>
        <v>300</v>
      </c>
      <c r="Q67" s="16" t="s">
        <v>49</v>
      </c>
    </row>
    <row r="68" customFormat="false" ht="30" hidden="false" customHeight="true" outlineLevel="0" collapsed="false">
      <c r="A68" s="7" t="s">
        <v>342</v>
      </c>
      <c r="B68" s="16" t="s">
        <v>343</v>
      </c>
      <c r="C68" s="17" t="s">
        <v>333</v>
      </c>
      <c r="D68" s="7" t="str">
        <f aca="false">INDEX(Tuning!$C$5:$C$19,MATCH($C68,Tuning!$A$5:$A$19,0))</f>
        <v>Alien</v>
      </c>
      <c r="E68" s="16" t="s">
        <v>168</v>
      </c>
      <c r="F68" s="7" t="s">
        <v>25</v>
      </c>
      <c r="G68" s="7" t="n">
        <v>4</v>
      </c>
      <c r="H68" s="16" t="s">
        <v>344</v>
      </c>
      <c r="I68" s="16" t="s">
        <v>345</v>
      </c>
      <c r="J68" s="16"/>
      <c r="K68" s="18" t="n">
        <v>1</v>
      </c>
      <c r="L68" s="18" t="n">
        <v>1</v>
      </c>
      <c r="M68" s="19" t="n">
        <f aca="false">ROUND(INDEX(Tuning!$D$5:$D$19,MATCH($C68,Tuning!$A$5:$A$19,0))*INDEX(Tuning!$B$24:$B$29,MATCH($F68,Tuning!$A$24:$A$29,0))*K68,1)</f>
        <v>15.6</v>
      </c>
      <c r="N68" s="20" t="n">
        <f aca="false">ROUND(INDEX(Tuning!$E$5:$E$19,MATCH($C68,Tuning!$A$5:$A$19,0))*L68,2)</f>
        <v>0.9</v>
      </c>
      <c r="O68" s="19" t="n">
        <f aca="false">ROUND(M68*N68,1)</f>
        <v>14</v>
      </c>
      <c r="P68" s="7" t="n">
        <f aca="false">INDEX(Tuning!$G$5:$G$19,MATCH($C68,Tuning!$A$5:$A$19,0))</f>
        <v>300</v>
      </c>
      <c r="Q68" s="16" t="s">
        <v>49</v>
      </c>
    </row>
    <row r="69" customFormat="false" ht="16.5" hidden="false" customHeight="true" outlineLevel="0" collapsed="false">
      <c r="A69" s="7" t="s">
        <v>346</v>
      </c>
      <c r="B69" s="16" t="s">
        <v>347</v>
      </c>
      <c r="C69" s="17" t="s">
        <v>348</v>
      </c>
      <c r="D69" s="7" t="str">
        <f aca="false">INDEX(Tuning!$C$5:$C$19,MATCH($C69,Tuning!$A$5:$A$19,0))</f>
        <v>Any</v>
      </c>
      <c r="E69" s="16" t="s">
        <v>46</v>
      </c>
      <c r="F69" s="7" t="s">
        <v>21</v>
      </c>
      <c r="G69" s="7" t="n">
        <v>4</v>
      </c>
      <c r="H69" s="16" t="s">
        <v>349</v>
      </c>
      <c r="I69" s="16" t="s">
        <v>187</v>
      </c>
      <c r="J69" s="16"/>
      <c r="K69" s="18" t="n">
        <v>1</v>
      </c>
      <c r="L69" s="18" t="n">
        <v>1</v>
      </c>
      <c r="M69" s="19" t="n">
        <f aca="false">ROUND(INDEX(Tuning!$D$5:$D$19,MATCH($C69,Tuning!$A$5:$A$19,0))*INDEX(Tuning!$B$24:$B$29,MATCH($F69,Tuning!$A$24:$A$29,0))*K69,1)</f>
        <v>35</v>
      </c>
      <c r="N69" s="20" t="n">
        <f aca="false">ROUND(INDEX(Tuning!$E$5:$E$19,MATCH($C69,Tuning!$A$5:$A$19,0))*L69,2)</f>
        <v>0.6</v>
      </c>
      <c r="O69" s="19" t="n">
        <f aca="false">ROUND(M69*N69,1)</f>
        <v>21</v>
      </c>
      <c r="P69" s="7" t="n">
        <f aca="false">INDEX(Tuning!$G$5:$G$19,MATCH($C69,Tuning!$A$5:$A$19,0))</f>
        <v>450</v>
      </c>
      <c r="Q69" s="16" t="s">
        <v>49</v>
      </c>
    </row>
    <row r="70" customFormat="false" ht="30" hidden="false" customHeight="true" outlineLevel="0" collapsed="false">
      <c r="A70" s="7" t="s">
        <v>350</v>
      </c>
      <c r="B70" s="16" t="s">
        <v>351</v>
      </c>
      <c r="C70" s="17" t="s">
        <v>348</v>
      </c>
      <c r="D70" s="7" t="str">
        <f aca="false">INDEX(Tuning!$C$5:$C$19,MATCH($C70,Tuning!$A$5:$A$19,0))</f>
        <v>Any</v>
      </c>
      <c r="E70" s="16" t="s">
        <v>82</v>
      </c>
      <c r="F70" s="7" t="s">
        <v>22</v>
      </c>
      <c r="G70" s="7" t="n">
        <v>4</v>
      </c>
      <c r="H70" s="16" t="s">
        <v>352</v>
      </c>
      <c r="I70" s="16" t="s">
        <v>177</v>
      </c>
      <c r="J70" s="16"/>
      <c r="K70" s="18" t="n">
        <v>1</v>
      </c>
      <c r="L70" s="18" t="n">
        <v>1</v>
      </c>
      <c r="M70" s="19" t="n">
        <f aca="false">ROUND(INDEX(Tuning!$D$5:$D$19,MATCH($C70,Tuning!$A$5:$A$19,0))*INDEX(Tuning!$B$24:$B$29,MATCH($F70,Tuning!$A$24:$A$29,0))*K70,1)</f>
        <v>37.1</v>
      </c>
      <c r="N70" s="20" t="n">
        <f aca="false">ROUND(INDEX(Tuning!$E$5:$E$19,MATCH($C70,Tuning!$A$5:$A$19,0))*L70,2)</f>
        <v>0.6</v>
      </c>
      <c r="O70" s="19" t="n">
        <f aca="false">ROUND(M70*N70,1)</f>
        <v>22.3</v>
      </c>
      <c r="P70" s="7" t="n">
        <f aca="false">INDEX(Tuning!$G$5:$G$19,MATCH($C70,Tuning!$A$5:$A$19,0))</f>
        <v>450</v>
      </c>
      <c r="Q70" s="16" t="s">
        <v>251</v>
      </c>
    </row>
    <row r="71" customFormat="false" ht="30" hidden="false" customHeight="true" outlineLevel="0" collapsed="false">
      <c r="A71" s="7" t="s">
        <v>353</v>
      </c>
      <c r="B71" s="16" t="s">
        <v>354</v>
      </c>
      <c r="C71" s="17" t="s">
        <v>348</v>
      </c>
      <c r="D71" s="7" t="str">
        <f aca="false">INDEX(Tuning!$C$5:$C$19,MATCH($C71,Tuning!$A$5:$A$19,0))</f>
        <v>Any</v>
      </c>
      <c r="E71" s="16" t="s">
        <v>46</v>
      </c>
      <c r="F71" s="7" t="s">
        <v>23</v>
      </c>
      <c r="G71" s="7" t="n">
        <v>4</v>
      </c>
      <c r="H71" s="16" t="s">
        <v>355</v>
      </c>
      <c r="I71" s="16" t="s">
        <v>271</v>
      </c>
      <c r="J71" s="16"/>
      <c r="K71" s="18" t="n">
        <v>1</v>
      </c>
      <c r="L71" s="18" t="n">
        <v>1</v>
      </c>
      <c r="M71" s="19" t="n">
        <f aca="false">ROUND(INDEX(Tuning!$D$5:$D$19,MATCH($C71,Tuning!$A$5:$A$19,0))*INDEX(Tuning!$B$24:$B$29,MATCH($F71,Tuning!$A$24:$A$29,0))*K71,1)</f>
        <v>39.2</v>
      </c>
      <c r="N71" s="20" t="n">
        <f aca="false">ROUND(INDEX(Tuning!$E$5:$E$19,MATCH($C71,Tuning!$A$5:$A$19,0))*L71,2)</f>
        <v>0.6</v>
      </c>
      <c r="O71" s="19" t="n">
        <f aca="false">ROUND(M71*N71,1)</f>
        <v>23.5</v>
      </c>
      <c r="P71" s="7" t="n">
        <f aca="false">INDEX(Tuning!$G$5:$G$19,MATCH($C71,Tuning!$A$5:$A$19,0))</f>
        <v>450</v>
      </c>
      <c r="Q71" s="16" t="s">
        <v>356</v>
      </c>
    </row>
    <row r="72" customFormat="false" ht="30" hidden="false" customHeight="true" outlineLevel="0" collapsed="false">
      <c r="A72" s="7" t="s">
        <v>357</v>
      </c>
      <c r="B72" s="16" t="s">
        <v>358</v>
      </c>
      <c r="C72" s="17" t="s">
        <v>348</v>
      </c>
      <c r="D72" s="7" t="str">
        <f aca="false">INDEX(Tuning!$C$5:$C$19,MATCH($C72,Tuning!$A$5:$A$19,0))</f>
        <v>Any</v>
      </c>
      <c r="E72" s="16" t="s">
        <v>46</v>
      </c>
      <c r="F72" s="7" t="s">
        <v>24</v>
      </c>
      <c r="G72" s="7" t="n">
        <v>4</v>
      </c>
      <c r="H72" s="16" t="s">
        <v>359</v>
      </c>
      <c r="I72" s="16" t="s">
        <v>276</v>
      </c>
      <c r="J72" s="16"/>
      <c r="K72" s="18" t="n">
        <v>1</v>
      </c>
      <c r="L72" s="18" t="n">
        <v>1</v>
      </c>
      <c r="M72" s="19" t="n">
        <f aca="false">ROUND(INDEX(Tuning!$D$5:$D$19,MATCH($C72,Tuning!$A$5:$A$19,0))*INDEX(Tuning!$B$24:$B$29,MATCH($F72,Tuning!$A$24:$A$29,0))*K72,1)</f>
        <v>42</v>
      </c>
      <c r="N72" s="20" t="n">
        <f aca="false">ROUND(INDEX(Tuning!$E$5:$E$19,MATCH($C72,Tuning!$A$5:$A$19,0))*L72,2)</f>
        <v>0.6</v>
      </c>
      <c r="O72" s="19" t="n">
        <f aca="false">ROUND(M72*N72,1)</f>
        <v>25.2</v>
      </c>
      <c r="P72" s="7" t="n">
        <f aca="false">INDEX(Tuning!$G$5:$G$19,MATCH($C72,Tuning!$A$5:$A$19,0))</f>
        <v>450</v>
      </c>
      <c r="Q72" s="16" t="s">
        <v>360</v>
      </c>
    </row>
    <row r="73" customFormat="false" ht="30" hidden="false" customHeight="true" outlineLevel="0" collapsed="false">
      <c r="A73" s="7" t="s">
        <v>361</v>
      </c>
      <c r="B73" s="16" t="s">
        <v>362</v>
      </c>
      <c r="C73" s="17" t="s">
        <v>348</v>
      </c>
      <c r="D73" s="7" t="str">
        <f aca="false">INDEX(Tuning!$C$5:$C$19,MATCH($C73,Tuning!$A$5:$A$19,0))</f>
        <v>Any</v>
      </c>
      <c r="E73" s="16" t="s">
        <v>168</v>
      </c>
      <c r="F73" s="7" t="s">
        <v>25</v>
      </c>
      <c r="G73" s="7" t="n">
        <v>4</v>
      </c>
      <c r="H73" s="16" t="s">
        <v>363</v>
      </c>
      <c r="I73" s="16" t="s">
        <v>276</v>
      </c>
      <c r="J73" s="16"/>
      <c r="K73" s="18" t="n">
        <v>1</v>
      </c>
      <c r="L73" s="18" t="n">
        <v>1</v>
      </c>
      <c r="M73" s="19" t="n">
        <f aca="false">ROUND(INDEX(Tuning!$D$5:$D$19,MATCH($C73,Tuning!$A$5:$A$19,0))*INDEX(Tuning!$B$24:$B$29,MATCH($F73,Tuning!$A$24:$A$29,0))*K73,1)</f>
        <v>45.5</v>
      </c>
      <c r="N73" s="20" t="n">
        <f aca="false">ROUND(INDEX(Tuning!$E$5:$E$19,MATCH($C73,Tuning!$A$5:$A$19,0))*L73,2)</f>
        <v>0.6</v>
      </c>
      <c r="O73" s="19" t="n">
        <f aca="false">ROUND(M73*N73,1)</f>
        <v>27.3</v>
      </c>
      <c r="P73" s="7" t="n">
        <f aca="false">INDEX(Tuning!$G$5:$G$19,MATCH($C73,Tuning!$A$5:$A$19,0))</f>
        <v>450</v>
      </c>
      <c r="Q73" s="16" t="s">
        <v>364</v>
      </c>
    </row>
    <row r="74" customFormat="false" ht="16.5" hidden="false" customHeight="true" outlineLevel="0" collapsed="false">
      <c r="A74" s="7" t="s">
        <v>365</v>
      </c>
      <c r="B74" s="16" t="s">
        <v>366</v>
      </c>
      <c r="C74" s="17" t="s">
        <v>367</v>
      </c>
      <c r="D74" s="7" t="str">
        <f aca="false">INDEX(Tuning!$C$5:$C$19,MATCH($C74,Tuning!$A$5:$A$19,0))</f>
        <v>Any</v>
      </c>
      <c r="E74" s="16" t="s">
        <v>46</v>
      </c>
      <c r="F74" s="7" t="s">
        <v>21</v>
      </c>
      <c r="G74" s="7" t="n">
        <v>4</v>
      </c>
      <c r="H74" s="16" t="s">
        <v>368</v>
      </c>
      <c r="I74" s="16" t="s">
        <v>187</v>
      </c>
      <c r="J74" s="16"/>
      <c r="K74" s="18" t="n">
        <v>1</v>
      </c>
      <c r="L74" s="18" t="n">
        <v>1</v>
      </c>
      <c r="M74" s="19" t="n">
        <f aca="false">ROUND(INDEX(Tuning!$D$5:$D$19,MATCH($C74,Tuning!$A$5:$A$19,0))*INDEX(Tuning!$B$24:$B$29,MATCH($F74,Tuning!$A$24:$A$29,0))*K74,1)</f>
        <v>15</v>
      </c>
      <c r="N74" s="20" t="n">
        <f aca="false">ROUND(INDEX(Tuning!$E$5:$E$19,MATCH($C74,Tuning!$A$5:$A$19,0))*L74,2)</f>
        <v>1.2</v>
      </c>
      <c r="O74" s="19" t="n">
        <f aca="false">ROUND(M74*N74,1)</f>
        <v>18</v>
      </c>
      <c r="P74" s="7" t="n">
        <f aca="false">INDEX(Tuning!$G$5:$G$19,MATCH($C74,Tuning!$A$5:$A$19,0))</f>
        <v>320</v>
      </c>
      <c r="Q74" s="16" t="s">
        <v>369</v>
      </c>
    </row>
    <row r="75" customFormat="false" ht="16.5" hidden="false" customHeight="true" outlineLevel="0" collapsed="false">
      <c r="A75" s="7" t="s">
        <v>370</v>
      </c>
      <c r="B75" s="16" t="s">
        <v>371</v>
      </c>
      <c r="C75" s="17" t="s">
        <v>367</v>
      </c>
      <c r="D75" s="7" t="str">
        <f aca="false">INDEX(Tuning!$C$5:$C$19,MATCH($C75,Tuning!$A$5:$A$19,0))</f>
        <v>Any</v>
      </c>
      <c r="E75" s="16" t="s">
        <v>46</v>
      </c>
      <c r="F75" s="7" t="s">
        <v>22</v>
      </c>
      <c r="G75" s="7" t="n">
        <v>4</v>
      </c>
      <c r="H75" s="16" t="s">
        <v>372</v>
      </c>
      <c r="I75" s="16" t="s">
        <v>271</v>
      </c>
      <c r="J75" s="16"/>
      <c r="K75" s="18" t="n">
        <v>1</v>
      </c>
      <c r="L75" s="18" t="n">
        <v>1</v>
      </c>
      <c r="M75" s="19" t="n">
        <f aca="false">ROUND(INDEX(Tuning!$D$5:$D$19,MATCH($C75,Tuning!$A$5:$A$19,0))*INDEX(Tuning!$B$24:$B$29,MATCH($F75,Tuning!$A$24:$A$29,0))*K75,1)</f>
        <v>15.9</v>
      </c>
      <c r="N75" s="20" t="n">
        <f aca="false">ROUND(INDEX(Tuning!$E$5:$E$19,MATCH($C75,Tuning!$A$5:$A$19,0))*L75,2)</f>
        <v>1.2</v>
      </c>
      <c r="O75" s="19" t="n">
        <f aca="false">ROUND(M75*N75,1)</f>
        <v>19.1</v>
      </c>
      <c r="P75" s="7" t="n">
        <f aca="false">INDEX(Tuning!$G$5:$G$19,MATCH($C75,Tuning!$A$5:$A$19,0))</f>
        <v>320</v>
      </c>
      <c r="Q75" s="16" t="s">
        <v>373</v>
      </c>
    </row>
    <row r="76" customFormat="false" ht="30" hidden="false" customHeight="true" outlineLevel="0" collapsed="false">
      <c r="A76" s="7" t="s">
        <v>374</v>
      </c>
      <c r="B76" s="16" t="s">
        <v>375</v>
      </c>
      <c r="C76" s="17" t="s">
        <v>367</v>
      </c>
      <c r="D76" s="7" t="str">
        <f aca="false">INDEX(Tuning!$C$5:$C$19,MATCH($C76,Tuning!$A$5:$A$19,0))</f>
        <v>Any</v>
      </c>
      <c r="E76" s="16" t="s">
        <v>46</v>
      </c>
      <c r="F76" s="7" t="s">
        <v>23</v>
      </c>
      <c r="G76" s="7" t="n">
        <v>4</v>
      </c>
      <c r="H76" s="16" t="s">
        <v>376</v>
      </c>
      <c r="I76" s="16" t="s">
        <v>298</v>
      </c>
      <c r="J76" s="16"/>
      <c r="K76" s="18" t="n">
        <v>1</v>
      </c>
      <c r="L76" s="18" t="n">
        <v>1</v>
      </c>
      <c r="M76" s="19" t="n">
        <f aca="false">ROUND(INDEX(Tuning!$D$5:$D$19,MATCH($C76,Tuning!$A$5:$A$19,0))*INDEX(Tuning!$B$24:$B$29,MATCH($F76,Tuning!$A$24:$A$29,0))*K76,1)</f>
        <v>16.8</v>
      </c>
      <c r="N76" s="20" t="n">
        <f aca="false">ROUND(INDEX(Tuning!$E$5:$E$19,MATCH($C76,Tuning!$A$5:$A$19,0))*L76,2)</f>
        <v>1.2</v>
      </c>
      <c r="O76" s="19" t="n">
        <f aca="false">ROUND(M76*N76,1)</f>
        <v>20.2</v>
      </c>
      <c r="P76" s="7" t="n">
        <f aca="false">INDEX(Tuning!$G$5:$G$19,MATCH($C76,Tuning!$A$5:$A$19,0))</f>
        <v>320</v>
      </c>
      <c r="Q76" s="16" t="s">
        <v>377</v>
      </c>
    </row>
    <row r="77" customFormat="false" ht="30" hidden="false" customHeight="true" outlineLevel="0" collapsed="false">
      <c r="A77" s="7" t="s">
        <v>378</v>
      </c>
      <c r="B77" s="16" t="s">
        <v>379</v>
      </c>
      <c r="C77" s="17" t="s">
        <v>367</v>
      </c>
      <c r="D77" s="7" t="str">
        <f aca="false">INDEX(Tuning!$C$5:$C$19,MATCH($C77,Tuning!$A$5:$A$19,0))</f>
        <v>Any</v>
      </c>
      <c r="E77" s="16" t="s">
        <v>77</v>
      </c>
      <c r="F77" s="7" t="s">
        <v>23</v>
      </c>
      <c r="G77" s="7" t="n">
        <v>4</v>
      </c>
      <c r="H77" s="16" t="s">
        <v>380</v>
      </c>
      <c r="I77" s="16" t="s">
        <v>298</v>
      </c>
      <c r="J77" s="16"/>
      <c r="K77" s="18" t="n">
        <v>1</v>
      </c>
      <c r="L77" s="18" t="n">
        <v>1</v>
      </c>
      <c r="M77" s="19" t="n">
        <f aca="false">ROUND(INDEX(Tuning!$D$5:$D$19,MATCH($C77,Tuning!$A$5:$A$19,0))*INDEX(Tuning!$B$24:$B$29,MATCH($F77,Tuning!$A$24:$A$29,0))*K77,1)</f>
        <v>16.8</v>
      </c>
      <c r="N77" s="20" t="n">
        <f aca="false">ROUND(INDEX(Tuning!$E$5:$E$19,MATCH($C77,Tuning!$A$5:$A$19,0))*L77,2)</f>
        <v>1.2</v>
      </c>
      <c r="O77" s="19" t="n">
        <f aca="false">ROUND(M77*N77,1)</f>
        <v>20.2</v>
      </c>
      <c r="P77" s="7" t="n">
        <f aca="false">INDEX(Tuning!$G$5:$G$19,MATCH($C77,Tuning!$A$5:$A$19,0))</f>
        <v>320</v>
      </c>
      <c r="Q77" s="16" t="s">
        <v>381</v>
      </c>
    </row>
    <row r="78" customFormat="false" ht="30" hidden="false" customHeight="true" outlineLevel="0" collapsed="false">
      <c r="A78" s="7" t="s">
        <v>382</v>
      </c>
      <c r="B78" s="16" t="s">
        <v>383</v>
      </c>
      <c r="C78" s="17" t="s">
        <v>367</v>
      </c>
      <c r="D78" s="7" t="str">
        <f aca="false">INDEX(Tuning!$C$5:$C$19,MATCH($C78,Tuning!$A$5:$A$19,0))</f>
        <v>Any</v>
      </c>
      <c r="E78" s="16" t="s">
        <v>168</v>
      </c>
      <c r="F78" s="7" t="s">
        <v>24</v>
      </c>
      <c r="G78" s="7" t="n">
        <v>4</v>
      </c>
      <c r="H78" s="16" t="s">
        <v>384</v>
      </c>
      <c r="I78" s="16" t="s">
        <v>338</v>
      </c>
      <c r="J78" s="16"/>
      <c r="K78" s="18" t="n">
        <v>1</v>
      </c>
      <c r="L78" s="18" t="n">
        <v>1</v>
      </c>
      <c r="M78" s="19" t="n">
        <f aca="false">ROUND(INDEX(Tuning!$D$5:$D$19,MATCH($C78,Tuning!$A$5:$A$19,0))*INDEX(Tuning!$B$24:$B$29,MATCH($F78,Tuning!$A$24:$A$29,0))*K78,1)</f>
        <v>18</v>
      </c>
      <c r="N78" s="20" t="n">
        <f aca="false">ROUND(INDEX(Tuning!$E$5:$E$19,MATCH($C78,Tuning!$A$5:$A$19,0))*L78,2)</f>
        <v>1.2</v>
      </c>
      <c r="O78" s="19" t="n">
        <f aca="false">ROUND(M78*N78,1)</f>
        <v>21.6</v>
      </c>
      <c r="P78" s="7" t="n">
        <f aca="false">INDEX(Tuning!$G$5:$G$19,MATCH($C78,Tuning!$A$5:$A$19,0))</f>
        <v>320</v>
      </c>
      <c r="Q78" s="16" t="s">
        <v>385</v>
      </c>
    </row>
    <row r="79" customFormat="false" ht="30" hidden="false" customHeight="true" outlineLevel="0" collapsed="false">
      <c r="A79" s="7" t="s">
        <v>386</v>
      </c>
      <c r="B79" s="16" t="s">
        <v>387</v>
      </c>
      <c r="C79" s="17" t="s">
        <v>367</v>
      </c>
      <c r="D79" s="7" t="str">
        <f aca="false">INDEX(Tuning!$C$5:$C$19,MATCH($C79,Tuning!$A$5:$A$19,0))</f>
        <v>Any</v>
      </c>
      <c r="E79" s="16" t="s">
        <v>46</v>
      </c>
      <c r="F79" s="7" t="s">
        <v>25</v>
      </c>
      <c r="G79" s="7" t="n">
        <v>4</v>
      </c>
      <c r="H79" s="16" t="s">
        <v>388</v>
      </c>
      <c r="I79" s="16" t="s">
        <v>276</v>
      </c>
      <c r="J79" s="16"/>
      <c r="K79" s="18" t="n">
        <v>1</v>
      </c>
      <c r="L79" s="18" t="n">
        <v>1</v>
      </c>
      <c r="M79" s="19" t="n">
        <f aca="false">ROUND(INDEX(Tuning!$D$5:$D$19,MATCH($C79,Tuning!$A$5:$A$19,0))*INDEX(Tuning!$B$24:$B$29,MATCH($F79,Tuning!$A$24:$A$29,0))*K79,1)</f>
        <v>19.5</v>
      </c>
      <c r="N79" s="20" t="n">
        <f aca="false">ROUND(INDEX(Tuning!$E$5:$E$19,MATCH($C79,Tuning!$A$5:$A$19,0))*L79,2)</f>
        <v>1.2</v>
      </c>
      <c r="O79" s="19" t="n">
        <f aca="false">ROUND(M79*N79,1)</f>
        <v>23.4</v>
      </c>
      <c r="P79" s="7" t="n">
        <f aca="false">INDEX(Tuning!$G$5:$G$19,MATCH($C79,Tuning!$A$5:$A$19,0))</f>
        <v>320</v>
      </c>
      <c r="Q79" s="16" t="s">
        <v>155</v>
      </c>
    </row>
    <row r="80" customFormat="false" ht="30" hidden="false" customHeight="true" outlineLevel="0" collapsed="false">
      <c r="A80" s="7" t="s">
        <v>389</v>
      </c>
      <c r="B80" s="16" t="s">
        <v>390</v>
      </c>
      <c r="C80" s="17" t="s">
        <v>367</v>
      </c>
      <c r="D80" s="7" t="str">
        <f aca="false">INDEX(Tuning!$C$5:$C$19,MATCH($C80,Tuning!$A$5:$A$19,0))</f>
        <v>Any</v>
      </c>
      <c r="E80" s="16" t="s">
        <v>46</v>
      </c>
      <c r="F80" s="7" t="s">
        <v>25</v>
      </c>
      <c r="G80" s="7" t="n">
        <v>4</v>
      </c>
      <c r="H80" s="16" t="s">
        <v>391</v>
      </c>
      <c r="I80" s="16" t="s">
        <v>232</v>
      </c>
      <c r="J80" s="16"/>
      <c r="K80" s="18" t="n">
        <v>1</v>
      </c>
      <c r="L80" s="18" t="n">
        <v>1</v>
      </c>
      <c r="M80" s="19" t="n">
        <f aca="false">ROUND(INDEX(Tuning!$D$5:$D$19,MATCH($C80,Tuning!$A$5:$A$19,0))*INDEX(Tuning!$B$24:$B$29,MATCH($F80,Tuning!$A$24:$A$29,0))*K80,1)</f>
        <v>19.5</v>
      </c>
      <c r="N80" s="20" t="n">
        <f aca="false">ROUND(INDEX(Tuning!$E$5:$E$19,MATCH($C80,Tuning!$A$5:$A$19,0))*L80,2)</f>
        <v>1.2</v>
      </c>
      <c r="O80" s="19" t="n">
        <f aca="false">ROUND(M80*N80,1)</f>
        <v>23.4</v>
      </c>
      <c r="P80" s="7" t="n">
        <f aca="false">INDEX(Tuning!$G$5:$G$19,MATCH($C80,Tuning!$A$5:$A$19,0))</f>
        <v>320</v>
      </c>
      <c r="Q80" s="16" t="s">
        <v>392</v>
      </c>
    </row>
    <row r="81" customFormat="false" ht="30" hidden="false" customHeight="true" outlineLevel="0" collapsed="false">
      <c r="A81" s="7" t="s">
        <v>393</v>
      </c>
      <c r="B81" s="16" t="s">
        <v>394</v>
      </c>
      <c r="C81" s="17" t="s">
        <v>45</v>
      </c>
      <c r="D81" s="7" t="str">
        <f aca="false">INDEX(Tuning!$C$5:$C$19,MATCH($C81,Tuning!$A$5:$A$19,0))</f>
        <v>Human</v>
      </c>
      <c r="E81" s="16" t="s">
        <v>168</v>
      </c>
      <c r="F81" s="7" t="s">
        <v>24</v>
      </c>
      <c r="G81" s="7" t="n">
        <v>4</v>
      </c>
      <c r="H81" s="16" t="s">
        <v>395</v>
      </c>
      <c r="I81" s="16" t="s">
        <v>196</v>
      </c>
      <c r="J81" s="16"/>
      <c r="K81" s="18" t="n">
        <v>1</v>
      </c>
      <c r="L81" s="18" t="n">
        <v>1</v>
      </c>
      <c r="M81" s="19" t="n">
        <f aca="false">ROUND(INDEX(Tuning!$D$5:$D$19,MATCH($C81,Tuning!$A$5:$A$19,0))*INDEX(Tuning!$B$24:$B$29,MATCH($F81,Tuning!$A$24:$A$29,0))*K81,1)</f>
        <v>16.8</v>
      </c>
      <c r="N81" s="20" t="n">
        <f aca="false">ROUND(INDEX(Tuning!$E$5:$E$19,MATCH($C81,Tuning!$A$5:$A$19,0))*L81,2)</f>
        <v>1.6</v>
      </c>
      <c r="O81" s="19" t="n">
        <f aca="false">ROUND(M81*N81,1)</f>
        <v>26.9</v>
      </c>
      <c r="P81" s="7" t="n">
        <f aca="false">INDEX(Tuning!$G$5:$G$19,MATCH($C81,Tuning!$A$5:$A$19,0))</f>
        <v>70</v>
      </c>
      <c r="Q81" s="16" t="s">
        <v>396</v>
      </c>
    </row>
    <row r="82" customFormat="false" ht="30" hidden="false" customHeight="true" outlineLevel="0" collapsed="false">
      <c r="A82" s="7" t="s">
        <v>397</v>
      </c>
      <c r="B82" s="16" t="s">
        <v>398</v>
      </c>
      <c r="C82" s="17" t="s">
        <v>45</v>
      </c>
      <c r="D82" s="7" t="str">
        <f aca="false">INDEX(Tuning!$C$5:$C$19,MATCH($C82,Tuning!$A$5:$A$19,0))</f>
        <v>Human</v>
      </c>
      <c r="E82" s="16" t="s">
        <v>168</v>
      </c>
      <c r="F82" s="7" t="s">
        <v>24</v>
      </c>
      <c r="G82" s="7" t="n">
        <v>4</v>
      </c>
      <c r="H82" s="16" t="s">
        <v>399</v>
      </c>
      <c r="I82" s="16" t="s">
        <v>400</v>
      </c>
      <c r="J82" s="16"/>
      <c r="K82" s="18" t="n">
        <v>1</v>
      </c>
      <c r="L82" s="18" t="n">
        <v>1</v>
      </c>
      <c r="M82" s="19" t="n">
        <f aca="false">ROUND(INDEX(Tuning!$D$5:$D$19,MATCH($C82,Tuning!$A$5:$A$19,0))*INDEX(Tuning!$B$24:$B$29,MATCH($F82,Tuning!$A$24:$A$29,0))*K82,1)</f>
        <v>16.8</v>
      </c>
      <c r="N82" s="20" t="n">
        <f aca="false">ROUND(INDEX(Tuning!$E$5:$E$19,MATCH($C82,Tuning!$A$5:$A$19,0))*L82,2)</f>
        <v>1.6</v>
      </c>
      <c r="O82" s="19" t="n">
        <f aca="false">ROUND(M82*N82,1)</f>
        <v>26.9</v>
      </c>
      <c r="P82" s="7" t="n">
        <f aca="false">INDEX(Tuning!$G$5:$G$19,MATCH($C82,Tuning!$A$5:$A$19,0))</f>
        <v>70</v>
      </c>
      <c r="Q82" s="16" t="s">
        <v>401</v>
      </c>
    </row>
    <row r="83" customFormat="false" ht="16.5" hidden="false" customHeight="true" outlineLevel="0" collapsed="false">
      <c r="A83" s="7" t="s">
        <v>402</v>
      </c>
      <c r="B83" s="16" t="s">
        <v>403</v>
      </c>
      <c r="C83" s="17" t="s">
        <v>45</v>
      </c>
      <c r="D83" s="7" t="str">
        <f aca="false">INDEX(Tuning!$C$5:$C$19,MATCH($C83,Tuning!$A$5:$A$19,0))</f>
        <v>Human</v>
      </c>
      <c r="E83" s="16" t="s">
        <v>77</v>
      </c>
      <c r="F83" s="7" t="s">
        <v>25</v>
      </c>
      <c r="G83" s="7" t="n">
        <v>4</v>
      </c>
      <c r="H83" s="16" t="s">
        <v>404</v>
      </c>
      <c r="I83" s="16" t="s">
        <v>263</v>
      </c>
      <c r="J83" s="16"/>
      <c r="K83" s="18" t="n">
        <v>1</v>
      </c>
      <c r="L83" s="18" t="n">
        <v>1</v>
      </c>
      <c r="M83" s="19" t="n">
        <f aca="false">ROUND(INDEX(Tuning!$D$5:$D$19,MATCH($C83,Tuning!$A$5:$A$19,0))*INDEX(Tuning!$B$24:$B$29,MATCH($F83,Tuning!$A$24:$A$29,0))*K83,1)</f>
        <v>18.2</v>
      </c>
      <c r="N83" s="20" t="n">
        <f aca="false">ROUND(INDEX(Tuning!$E$5:$E$19,MATCH($C83,Tuning!$A$5:$A$19,0))*L83,2)</f>
        <v>1.6</v>
      </c>
      <c r="O83" s="19" t="n">
        <f aca="false">ROUND(M83*N83,1)</f>
        <v>29.1</v>
      </c>
      <c r="P83" s="7" t="n">
        <f aca="false">INDEX(Tuning!$G$5:$G$19,MATCH($C83,Tuning!$A$5:$A$19,0))</f>
        <v>70</v>
      </c>
      <c r="Q83" s="16" t="s">
        <v>405</v>
      </c>
    </row>
    <row r="84" customFormat="false" ht="30" hidden="false" customHeight="true" outlineLevel="0" collapsed="false">
      <c r="A84" s="7" t="s">
        <v>406</v>
      </c>
      <c r="B84" s="16" t="s">
        <v>407</v>
      </c>
      <c r="C84" s="17" t="s">
        <v>45</v>
      </c>
      <c r="D84" s="7" t="str">
        <f aca="false">INDEX(Tuning!$C$5:$C$19,MATCH($C84,Tuning!$A$5:$A$19,0))</f>
        <v>Human</v>
      </c>
      <c r="E84" s="16" t="s">
        <v>46</v>
      </c>
      <c r="F84" s="7" t="s">
        <v>25</v>
      </c>
      <c r="G84" s="7" t="n">
        <v>4</v>
      </c>
      <c r="H84" s="16" t="s">
        <v>408</v>
      </c>
      <c r="I84" s="16" t="s">
        <v>263</v>
      </c>
      <c r="J84" s="16"/>
      <c r="K84" s="18" t="n">
        <v>1</v>
      </c>
      <c r="L84" s="18" t="n">
        <v>1</v>
      </c>
      <c r="M84" s="19" t="n">
        <f aca="false">ROUND(INDEX(Tuning!$D$5:$D$19,MATCH($C84,Tuning!$A$5:$A$19,0))*INDEX(Tuning!$B$24:$B$29,MATCH($F84,Tuning!$A$24:$A$29,0))*K84,1)</f>
        <v>18.2</v>
      </c>
      <c r="N84" s="20" t="n">
        <f aca="false">ROUND(INDEX(Tuning!$E$5:$E$19,MATCH($C84,Tuning!$A$5:$A$19,0))*L84,2)</f>
        <v>1.6</v>
      </c>
      <c r="O84" s="19" t="n">
        <f aca="false">ROUND(M84*N84,1)</f>
        <v>29.1</v>
      </c>
      <c r="P84" s="7" t="n">
        <f aca="false">INDEX(Tuning!$G$5:$G$19,MATCH($C84,Tuning!$A$5:$A$19,0))</f>
        <v>70</v>
      </c>
      <c r="Q84" s="16" t="s">
        <v>409</v>
      </c>
    </row>
    <row r="85" customFormat="false" ht="16.5" hidden="false" customHeight="true" outlineLevel="0" collapsed="false">
      <c r="A85" s="7" t="s">
        <v>410</v>
      </c>
      <c r="B85" s="16" t="s">
        <v>411</v>
      </c>
      <c r="C85" s="17" t="s">
        <v>45</v>
      </c>
      <c r="D85" s="7" t="str">
        <f aca="false">INDEX(Tuning!$C$5:$C$19,MATCH($C85,Tuning!$A$5:$A$19,0))</f>
        <v>Human</v>
      </c>
      <c r="E85" s="16" t="s">
        <v>77</v>
      </c>
      <c r="F85" s="7" t="s">
        <v>25</v>
      </c>
      <c r="G85" s="7" t="n">
        <v>4</v>
      </c>
      <c r="H85" s="16" t="s">
        <v>412</v>
      </c>
      <c r="I85" s="16" t="s">
        <v>276</v>
      </c>
      <c r="J85" s="16"/>
      <c r="K85" s="18" t="n">
        <v>1</v>
      </c>
      <c r="L85" s="18" t="n">
        <v>1</v>
      </c>
      <c r="M85" s="19" t="n">
        <f aca="false">ROUND(INDEX(Tuning!$D$5:$D$19,MATCH($C85,Tuning!$A$5:$A$19,0))*INDEX(Tuning!$B$24:$B$29,MATCH($F85,Tuning!$A$24:$A$29,0))*K85,1)</f>
        <v>18.2</v>
      </c>
      <c r="N85" s="20" t="n">
        <f aca="false">ROUND(INDEX(Tuning!$E$5:$E$19,MATCH($C85,Tuning!$A$5:$A$19,0))*L85,2)</f>
        <v>1.6</v>
      </c>
      <c r="O85" s="19" t="n">
        <f aca="false">ROUND(M85*N85,1)</f>
        <v>29.1</v>
      </c>
      <c r="P85" s="7" t="n">
        <f aca="false">INDEX(Tuning!$G$5:$G$19,MATCH($C85,Tuning!$A$5:$A$19,0))</f>
        <v>70</v>
      </c>
      <c r="Q85" s="16" t="s">
        <v>413</v>
      </c>
    </row>
    <row r="86" customFormat="false" ht="30" hidden="false" customHeight="true" outlineLevel="0" collapsed="false">
      <c r="A86" s="7" t="s">
        <v>414</v>
      </c>
      <c r="B86" s="16" t="s">
        <v>415</v>
      </c>
      <c r="C86" s="17" t="s">
        <v>45</v>
      </c>
      <c r="D86" s="7" t="str">
        <f aca="false">INDEX(Tuning!$C$5:$C$19,MATCH($C86,Tuning!$A$5:$A$19,0))</f>
        <v>Human</v>
      </c>
      <c r="E86" s="16" t="s">
        <v>168</v>
      </c>
      <c r="F86" s="7" t="s">
        <v>25</v>
      </c>
      <c r="G86" s="7" t="n">
        <v>4</v>
      </c>
      <c r="H86" s="16" t="s">
        <v>416</v>
      </c>
      <c r="I86" s="16" t="s">
        <v>276</v>
      </c>
      <c r="J86" s="16"/>
      <c r="K86" s="18" t="n">
        <v>1</v>
      </c>
      <c r="L86" s="18" t="n">
        <v>1</v>
      </c>
      <c r="M86" s="19" t="n">
        <f aca="false">ROUND(INDEX(Tuning!$D$5:$D$19,MATCH($C86,Tuning!$A$5:$A$19,0))*INDEX(Tuning!$B$24:$B$29,MATCH($F86,Tuning!$A$24:$A$29,0))*K86,1)</f>
        <v>18.2</v>
      </c>
      <c r="N86" s="20" t="n">
        <f aca="false">ROUND(INDEX(Tuning!$E$5:$E$19,MATCH($C86,Tuning!$A$5:$A$19,0))*L86,2)</f>
        <v>1.6</v>
      </c>
      <c r="O86" s="19" t="n">
        <f aca="false">ROUND(M86*N86,1)</f>
        <v>29.1</v>
      </c>
      <c r="P86" s="7" t="n">
        <f aca="false">INDEX(Tuning!$G$5:$G$19,MATCH($C86,Tuning!$A$5:$A$19,0))</f>
        <v>70</v>
      </c>
      <c r="Q86" s="16" t="s">
        <v>417</v>
      </c>
    </row>
    <row r="87" customFormat="false" ht="30" hidden="false" customHeight="true" outlineLevel="0" collapsed="false">
      <c r="A87" s="7" t="s">
        <v>418</v>
      </c>
      <c r="B87" s="16" t="s">
        <v>419</v>
      </c>
      <c r="C87" s="17" t="s">
        <v>45</v>
      </c>
      <c r="D87" s="7" t="str">
        <f aca="false">INDEX(Tuning!$C$5:$C$19,MATCH($C87,Tuning!$A$5:$A$19,0))</f>
        <v>Human</v>
      </c>
      <c r="E87" s="16" t="s">
        <v>77</v>
      </c>
      <c r="F87" s="7" t="s">
        <v>25</v>
      </c>
      <c r="G87" s="7" t="n">
        <v>4</v>
      </c>
      <c r="H87" s="16" t="s">
        <v>420</v>
      </c>
      <c r="I87" s="16" t="s">
        <v>232</v>
      </c>
      <c r="J87" s="16"/>
      <c r="K87" s="18" t="n">
        <v>1</v>
      </c>
      <c r="L87" s="18" t="n">
        <v>1</v>
      </c>
      <c r="M87" s="19" t="n">
        <f aca="false">ROUND(INDEX(Tuning!$D$5:$D$19,MATCH($C87,Tuning!$A$5:$A$19,0))*INDEX(Tuning!$B$24:$B$29,MATCH($F87,Tuning!$A$24:$A$29,0))*K87,1)</f>
        <v>18.2</v>
      </c>
      <c r="N87" s="20" t="n">
        <f aca="false">ROUND(INDEX(Tuning!$E$5:$E$19,MATCH($C87,Tuning!$A$5:$A$19,0))*L87,2)</f>
        <v>1.6</v>
      </c>
      <c r="O87" s="19" t="n">
        <f aca="false">ROUND(M87*N87,1)</f>
        <v>29.1</v>
      </c>
      <c r="P87" s="7" t="n">
        <f aca="false">INDEX(Tuning!$G$5:$G$19,MATCH($C87,Tuning!$A$5:$A$19,0))</f>
        <v>70</v>
      </c>
      <c r="Q87" s="16" t="s">
        <v>421</v>
      </c>
    </row>
    <row r="88" customFormat="false" ht="30" hidden="false" customHeight="true" outlineLevel="0" collapsed="false">
      <c r="A88" s="7" t="s">
        <v>422</v>
      </c>
      <c r="B88" s="16" t="s">
        <v>423</v>
      </c>
      <c r="C88" s="17" t="s">
        <v>45</v>
      </c>
      <c r="D88" s="7" t="str">
        <f aca="false">INDEX(Tuning!$C$5:$C$19,MATCH($C88,Tuning!$A$5:$A$19,0))</f>
        <v>Human</v>
      </c>
      <c r="E88" s="16" t="s">
        <v>77</v>
      </c>
      <c r="F88" s="7" t="s">
        <v>26</v>
      </c>
      <c r="G88" s="7" t="n">
        <v>4</v>
      </c>
      <c r="H88" s="16" t="s">
        <v>424</v>
      </c>
      <c r="I88" s="16" t="s">
        <v>425</v>
      </c>
      <c r="J88" s="16" t="s">
        <v>426</v>
      </c>
      <c r="K88" s="18" t="n">
        <v>1</v>
      </c>
      <c r="L88" s="18" t="n">
        <v>1</v>
      </c>
      <c r="M88" s="19" t="n">
        <f aca="false">ROUND(INDEX(Tuning!$D$5:$D$19,MATCH($C88,Tuning!$A$5:$A$19,0))*INDEX(Tuning!$B$24:$B$29,MATCH($F88,Tuning!$A$24:$A$29,0))*K88,1)</f>
        <v>19.6</v>
      </c>
      <c r="N88" s="20" t="n">
        <f aca="false">ROUND(INDEX(Tuning!$E$5:$E$19,MATCH($C88,Tuning!$A$5:$A$19,0))*L88,2)</f>
        <v>1.6</v>
      </c>
      <c r="O88" s="19" t="n">
        <f aca="false">ROUND(M88*N88,1)</f>
        <v>31.4</v>
      </c>
      <c r="P88" s="7" t="n">
        <f aca="false">INDEX(Tuning!$G$5:$G$19,MATCH($C88,Tuning!$A$5:$A$19,0))</f>
        <v>70</v>
      </c>
      <c r="Q88" s="16" t="s">
        <v>427</v>
      </c>
    </row>
    <row r="89" customFormat="false" ht="30" hidden="false" customHeight="true" outlineLevel="0" collapsed="false">
      <c r="A89" s="7" t="s">
        <v>428</v>
      </c>
      <c r="B89" s="16" t="s">
        <v>429</v>
      </c>
      <c r="C89" s="17" t="s">
        <v>62</v>
      </c>
      <c r="D89" s="7" t="str">
        <f aca="false">INDEX(Tuning!$C$5:$C$19,MATCH($C89,Tuning!$A$5:$A$19,0))</f>
        <v>Demon</v>
      </c>
      <c r="E89" s="16" t="s">
        <v>77</v>
      </c>
      <c r="F89" s="7" t="s">
        <v>25</v>
      </c>
      <c r="G89" s="7" t="n">
        <v>4</v>
      </c>
      <c r="H89" s="16" t="s">
        <v>430</v>
      </c>
      <c r="I89" s="16" t="s">
        <v>263</v>
      </c>
      <c r="J89" s="16"/>
      <c r="K89" s="18" t="n">
        <v>1</v>
      </c>
      <c r="L89" s="18" t="n">
        <v>1</v>
      </c>
      <c r="M89" s="19" t="n">
        <f aca="false">ROUND(INDEX(Tuning!$D$5:$D$19,MATCH($C89,Tuning!$A$5:$A$19,0))*INDEX(Tuning!$B$24:$B$29,MATCH($F89,Tuning!$A$24:$A$29,0))*K89,1)</f>
        <v>33.8</v>
      </c>
      <c r="N89" s="20" t="n">
        <f aca="false">ROUND(INDEX(Tuning!$E$5:$E$19,MATCH($C89,Tuning!$A$5:$A$19,0))*L89,2)</f>
        <v>0.8</v>
      </c>
      <c r="O89" s="19" t="n">
        <f aca="false">ROUND(M89*N89,1)</f>
        <v>27</v>
      </c>
      <c r="P89" s="7" t="n">
        <f aca="false">INDEX(Tuning!$G$5:$G$19,MATCH($C89,Tuning!$A$5:$A$19,0))</f>
        <v>95</v>
      </c>
      <c r="Q89" s="16" t="s">
        <v>431</v>
      </c>
    </row>
    <row r="90" customFormat="false" ht="16.5" hidden="false" customHeight="true" outlineLevel="0" collapsed="false">
      <c r="A90" s="7" t="s">
        <v>432</v>
      </c>
      <c r="B90" s="16" t="s">
        <v>433</v>
      </c>
      <c r="C90" s="17" t="s">
        <v>62</v>
      </c>
      <c r="D90" s="7" t="str">
        <f aca="false">INDEX(Tuning!$C$5:$C$19,MATCH($C90,Tuning!$A$5:$A$19,0))</f>
        <v>Demon</v>
      </c>
      <c r="E90" s="16" t="s">
        <v>434</v>
      </c>
      <c r="F90" s="7" t="s">
        <v>26</v>
      </c>
      <c r="G90" s="7" t="n">
        <v>4</v>
      </c>
      <c r="H90" s="16" t="s">
        <v>435</v>
      </c>
      <c r="I90" s="16" t="s">
        <v>436</v>
      </c>
      <c r="J90" s="16" t="s">
        <v>437</v>
      </c>
      <c r="K90" s="18" t="n">
        <v>1</v>
      </c>
      <c r="L90" s="18" t="n">
        <v>1</v>
      </c>
      <c r="M90" s="19" t="n">
        <f aca="false">ROUND(INDEX(Tuning!$D$5:$D$19,MATCH($C90,Tuning!$A$5:$A$19,0))*INDEX(Tuning!$B$24:$B$29,MATCH($F90,Tuning!$A$24:$A$29,0))*K90,1)</f>
        <v>36.4</v>
      </c>
      <c r="N90" s="20" t="n">
        <f aca="false">ROUND(INDEX(Tuning!$E$5:$E$19,MATCH($C90,Tuning!$A$5:$A$19,0))*L90,2)</f>
        <v>0.8</v>
      </c>
      <c r="O90" s="19" t="n">
        <f aca="false">ROUND(M90*N90,1)</f>
        <v>29.1</v>
      </c>
      <c r="P90" s="7" t="n">
        <f aca="false">INDEX(Tuning!$G$5:$G$19,MATCH($C90,Tuning!$A$5:$A$19,0))</f>
        <v>95</v>
      </c>
      <c r="Q90" s="16" t="s">
        <v>438</v>
      </c>
    </row>
    <row r="91" customFormat="false" ht="30" hidden="false" customHeight="true" outlineLevel="0" collapsed="false">
      <c r="A91" s="7" t="s">
        <v>439</v>
      </c>
      <c r="B91" s="16" t="s">
        <v>440</v>
      </c>
      <c r="C91" s="17" t="s">
        <v>149</v>
      </c>
      <c r="D91" s="7" t="str">
        <f aca="false">INDEX(Tuning!$C$5:$C$19,MATCH($C91,Tuning!$A$5:$A$19,0))</f>
        <v>God</v>
      </c>
      <c r="E91" s="16" t="s">
        <v>77</v>
      </c>
      <c r="F91" s="7" t="s">
        <v>25</v>
      </c>
      <c r="G91" s="7" t="n">
        <v>4</v>
      </c>
      <c r="H91" s="16" t="s">
        <v>441</v>
      </c>
      <c r="I91" s="16" t="s">
        <v>442</v>
      </c>
      <c r="J91" s="16"/>
      <c r="K91" s="18" t="n">
        <v>1</v>
      </c>
      <c r="L91" s="18" t="n">
        <v>1</v>
      </c>
      <c r="M91" s="19" t="n">
        <f aca="false">ROUND(INDEX(Tuning!$D$5:$D$19,MATCH($C91,Tuning!$A$5:$A$19,0))*INDEX(Tuning!$B$24:$B$29,MATCH($F91,Tuning!$A$24:$A$29,0))*K91,1)</f>
        <v>23.4</v>
      </c>
      <c r="N91" s="20" t="n">
        <f aca="false">ROUND(INDEX(Tuning!$E$5:$E$19,MATCH($C91,Tuning!$A$5:$A$19,0))*L91,2)</f>
        <v>1.2</v>
      </c>
      <c r="O91" s="19" t="n">
        <f aca="false">ROUND(M91*N91,1)</f>
        <v>28.1</v>
      </c>
      <c r="P91" s="7" t="n">
        <f aca="false">INDEX(Tuning!$G$5:$G$19,MATCH($C91,Tuning!$A$5:$A$19,0))</f>
        <v>130</v>
      </c>
      <c r="Q91" s="16" t="s">
        <v>443</v>
      </c>
    </row>
    <row r="92" customFormat="false" ht="16.5" hidden="false" customHeight="true" outlineLevel="0" collapsed="false">
      <c r="A92" s="7" t="s">
        <v>444</v>
      </c>
      <c r="B92" s="16" t="s">
        <v>445</v>
      </c>
      <c r="C92" s="17" t="s">
        <v>149</v>
      </c>
      <c r="D92" s="7" t="str">
        <f aca="false">INDEX(Tuning!$C$5:$C$19,MATCH($C92,Tuning!$A$5:$A$19,0))</f>
        <v>God</v>
      </c>
      <c r="E92" s="16" t="s">
        <v>77</v>
      </c>
      <c r="F92" s="7" t="s">
        <v>25</v>
      </c>
      <c r="G92" s="7" t="n">
        <v>4</v>
      </c>
      <c r="H92" s="16" t="s">
        <v>446</v>
      </c>
      <c r="I92" s="16" t="s">
        <v>263</v>
      </c>
      <c r="J92" s="16"/>
      <c r="K92" s="18" t="n">
        <v>1</v>
      </c>
      <c r="L92" s="18" t="n">
        <v>1</v>
      </c>
      <c r="M92" s="19" t="n">
        <f aca="false">ROUND(INDEX(Tuning!$D$5:$D$19,MATCH($C92,Tuning!$A$5:$A$19,0))*INDEX(Tuning!$B$24:$B$29,MATCH($F92,Tuning!$A$24:$A$29,0))*K92,1)</f>
        <v>23.4</v>
      </c>
      <c r="N92" s="20" t="n">
        <f aca="false">ROUND(INDEX(Tuning!$E$5:$E$19,MATCH($C92,Tuning!$A$5:$A$19,0))*L92,2)</f>
        <v>1.2</v>
      </c>
      <c r="O92" s="19" t="n">
        <f aca="false">ROUND(M92*N92,1)</f>
        <v>28.1</v>
      </c>
      <c r="P92" s="7" t="n">
        <f aca="false">INDEX(Tuning!$G$5:$G$19,MATCH($C92,Tuning!$A$5:$A$19,0))</f>
        <v>130</v>
      </c>
      <c r="Q92" s="16" t="s">
        <v>447</v>
      </c>
    </row>
    <row r="93" customFormat="false" ht="30" hidden="false" customHeight="true" outlineLevel="0" collapsed="false">
      <c r="A93" s="7" t="s">
        <v>448</v>
      </c>
      <c r="B93" s="16" t="s">
        <v>449</v>
      </c>
      <c r="C93" s="17" t="s">
        <v>149</v>
      </c>
      <c r="D93" s="7" t="str">
        <f aca="false">INDEX(Tuning!$C$5:$C$19,MATCH($C93,Tuning!$A$5:$A$19,0))</f>
        <v>God</v>
      </c>
      <c r="E93" s="16" t="s">
        <v>168</v>
      </c>
      <c r="F93" s="7" t="s">
        <v>24</v>
      </c>
      <c r="G93" s="7" t="n">
        <v>4</v>
      </c>
      <c r="H93" s="16" t="s">
        <v>450</v>
      </c>
      <c r="I93" s="16" t="s">
        <v>271</v>
      </c>
      <c r="J93" s="16"/>
      <c r="K93" s="18" t="n">
        <v>1</v>
      </c>
      <c r="L93" s="18" t="n">
        <v>1</v>
      </c>
      <c r="M93" s="19" t="n">
        <f aca="false">ROUND(INDEX(Tuning!$D$5:$D$19,MATCH($C93,Tuning!$A$5:$A$19,0))*INDEX(Tuning!$B$24:$B$29,MATCH($F93,Tuning!$A$24:$A$29,0))*K93,1)</f>
        <v>21.6</v>
      </c>
      <c r="N93" s="20" t="n">
        <f aca="false">ROUND(INDEX(Tuning!$E$5:$E$19,MATCH($C93,Tuning!$A$5:$A$19,0))*L93,2)</f>
        <v>1.2</v>
      </c>
      <c r="O93" s="19" t="n">
        <f aca="false">ROUND(M93*N93,1)</f>
        <v>25.9</v>
      </c>
      <c r="P93" s="7" t="n">
        <f aca="false">INDEX(Tuning!$G$5:$G$19,MATCH($C93,Tuning!$A$5:$A$19,0))</f>
        <v>130</v>
      </c>
      <c r="Q93" s="16" t="s">
        <v>451</v>
      </c>
    </row>
    <row r="94" customFormat="false" ht="30" hidden="false" customHeight="true" outlineLevel="0" collapsed="false">
      <c r="A94" s="7" t="s">
        <v>452</v>
      </c>
      <c r="B94" s="16" t="s">
        <v>453</v>
      </c>
      <c r="C94" s="17" t="s">
        <v>149</v>
      </c>
      <c r="D94" s="7" t="str">
        <f aca="false">INDEX(Tuning!$C$5:$C$19,MATCH($C94,Tuning!$A$5:$A$19,0))</f>
        <v>God</v>
      </c>
      <c r="E94" s="16" t="s">
        <v>77</v>
      </c>
      <c r="F94" s="7" t="s">
        <v>25</v>
      </c>
      <c r="G94" s="7" t="n">
        <v>4</v>
      </c>
      <c r="H94" s="16" t="s">
        <v>454</v>
      </c>
      <c r="I94" s="16" t="s">
        <v>455</v>
      </c>
      <c r="J94" s="16"/>
      <c r="K94" s="18" t="n">
        <v>1</v>
      </c>
      <c r="L94" s="18" t="n">
        <v>1</v>
      </c>
      <c r="M94" s="19" t="n">
        <f aca="false">ROUND(INDEX(Tuning!$D$5:$D$19,MATCH($C94,Tuning!$A$5:$A$19,0))*INDEX(Tuning!$B$24:$B$29,MATCH($F94,Tuning!$A$24:$A$29,0))*K94,1)</f>
        <v>23.4</v>
      </c>
      <c r="N94" s="20" t="n">
        <f aca="false">ROUND(INDEX(Tuning!$E$5:$E$19,MATCH($C94,Tuning!$A$5:$A$19,0))*L94,2)</f>
        <v>1.2</v>
      </c>
      <c r="O94" s="19" t="n">
        <f aca="false">ROUND(M94*N94,1)</f>
        <v>28.1</v>
      </c>
      <c r="P94" s="7" t="n">
        <f aca="false">INDEX(Tuning!$G$5:$G$19,MATCH($C94,Tuning!$A$5:$A$19,0))</f>
        <v>130</v>
      </c>
      <c r="Q94" s="16" t="s">
        <v>456</v>
      </c>
    </row>
    <row r="95" customFormat="false" ht="30" hidden="false" customHeight="true" outlineLevel="0" collapsed="false">
      <c r="A95" s="7" t="s">
        <v>457</v>
      </c>
      <c r="B95" s="16" t="s">
        <v>458</v>
      </c>
      <c r="C95" s="17" t="s">
        <v>76</v>
      </c>
      <c r="D95" s="7" t="str">
        <f aca="false">INDEX(Tuning!$C$5:$C$19,MATCH($C95,Tuning!$A$5:$A$19,0))</f>
        <v>God</v>
      </c>
      <c r="E95" s="16" t="s">
        <v>77</v>
      </c>
      <c r="F95" s="7" t="s">
        <v>24</v>
      </c>
      <c r="G95" s="7" t="n">
        <v>4</v>
      </c>
      <c r="H95" s="16" t="s">
        <v>459</v>
      </c>
      <c r="I95" s="16" t="s">
        <v>271</v>
      </c>
      <c r="J95" s="16"/>
      <c r="K95" s="18" t="n">
        <v>1</v>
      </c>
      <c r="L95" s="18" t="n">
        <v>1</v>
      </c>
      <c r="M95" s="19" t="n">
        <f aca="false">ROUND(INDEX(Tuning!$D$5:$D$19,MATCH($C95,Tuning!$A$5:$A$19,0))*INDEX(Tuning!$B$24:$B$29,MATCH($F95,Tuning!$A$24:$A$29,0))*K95,1)</f>
        <v>13.2</v>
      </c>
      <c r="N95" s="20" t="n">
        <f aca="false">ROUND(INDEX(Tuning!$E$5:$E$19,MATCH($C95,Tuning!$A$5:$A$19,0))*L95,2)</f>
        <v>1.8</v>
      </c>
      <c r="O95" s="19" t="n">
        <f aca="false">ROUND(M95*N95,1)</f>
        <v>23.8</v>
      </c>
      <c r="P95" s="7" t="n">
        <f aca="false">INDEX(Tuning!$G$5:$G$19,MATCH($C95,Tuning!$A$5:$A$19,0))</f>
        <v>380</v>
      </c>
      <c r="Q95" s="16" t="s">
        <v>460</v>
      </c>
    </row>
    <row r="96" customFormat="false" ht="30" hidden="false" customHeight="true" outlineLevel="0" collapsed="false">
      <c r="A96" s="7" t="s">
        <v>461</v>
      </c>
      <c r="B96" s="16" t="s">
        <v>462</v>
      </c>
      <c r="C96" s="17" t="s">
        <v>76</v>
      </c>
      <c r="D96" s="7" t="str">
        <f aca="false">INDEX(Tuning!$C$5:$C$19,MATCH($C96,Tuning!$A$5:$A$19,0))</f>
        <v>God</v>
      </c>
      <c r="E96" s="16" t="s">
        <v>463</v>
      </c>
      <c r="F96" s="7" t="s">
        <v>25</v>
      </c>
      <c r="G96" s="7" t="n">
        <v>4</v>
      </c>
      <c r="H96" s="16" t="s">
        <v>464</v>
      </c>
      <c r="I96" s="16" t="s">
        <v>465</v>
      </c>
      <c r="J96" s="16"/>
      <c r="K96" s="18" t="n">
        <v>1</v>
      </c>
      <c r="L96" s="18" t="n">
        <v>1</v>
      </c>
      <c r="M96" s="19" t="n">
        <f aca="false">ROUND(INDEX(Tuning!$D$5:$D$19,MATCH($C96,Tuning!$A$5:$A$19,0))*INDEX(Tuning!$B$24:$B$29,MATCH($F96,Tuning!$A$24:$A$29,0))*K96,1)</f>
        <v>14.3</v>
      </c>
      <c r="N96" s="20" t="n">
        <f aca="false">ROUND(INDEX(Tuning!$E$5:$E$19,MATCH($C96,Tuning!$A$5:$A$19,0))*L96,2)</f>
        <v>1.8</v>
      </c>
      <c r="O96" s="19" t="n">
        <f aca="false">ROUND(M96*N96,1)</f>
        <v>25.7</v>
      </c>
      <c r="P96" s="7" t="n">
        <f aca="false">INDEX(Tuning!$G$5:$G$19,MATCH($C96,Tuning!$A$5:$A$19,0))</f>
        <v>380</v>
      </c>
      <c r="Q96" s="16" t="s">
        <v>466</v>
      </c>
    </row>
    <row r="97" customFormat="false" ht="30" hidden="false" customHeight="true" outlineLevel="0" collapsed="false">
      <c r="A97" s="7" t="s">
        <v>467</v>
      </c>
      <c r="B97" s="16" t="s">
        <v>468</v>
      </c>
      <c r="C97" s="17" t="s">
        <v>91</v>
      </c>
      <c r="D97" s="7" t="str">
        <f aca="false">INDEX(Tuning!$C$5:$C$19,MATCH($C97,Tuning!$A$5:$A$19,0))</f>
        <v>Alien</v>
      </c>
      <c r="E97" s="16" t="s">
        <v>77</v>
      </c>
      <c r="F97" s="7" t="s">
        <v>25</v>
      </c>
      <c r="G97" s="7" t="n">
        <v>4</v>
      </c>
      <c r="H97" s="16" t="s">
        <v>469</v>
      </c>
      <c r="I97" s="16" t="s">
        <v>263</v>
      </c>
      <c r="J97" s="16"/>
      <c r="K97" s="18" t="n">
        <v>1</v>
      </c>
      <c r="L97" s="18" t="n">
        <v>1</v>
      </c>
      <c r="M97" s="19" t="n">
        <f aca="false">ROUND(INDEX(Tuning!$D$5:$D$19,MATCH($C97,Tuning!$A$5:$A$19,0))*INDEX(Tuning!$B$24:$B$29,MATCH($F97,Tuning!$A$24:$A$29,0))*K97,1)</f>
        <v>5.2</v>
      </c>
      <c r="N97" s="20" t="n">
        <f aca="false">ROUND(INDEX(Tuning!$E$5:$E$19,MATCH($C97,Tuning!$A$5:$A$19,0))*L97,2)</f>
        <v>10</v>
      </c>
      <c r="O97" s="19" t="n">
        <f aca="false">ROUND(M97*N97,1)</f>
        <v>52</v>
      </c>
      <c r="P97" s="7" t="n">
        <f aca="false">INDEX(Tuning!$G$5:$G$19,MATCH($C97,Tuning!$A$5:$A$19,0))</f>
        <v>350</v>
      </c>
      <c r="Q97" s="16" t="s">
        <v>470</v>
      </c>
    </row>
    <row r="98" customFormat="false" ht="30" hidden="false" customHeight="true" outlineLevel="0" collapsed="false">
      <c r="A98" s="7" t="s">
        <v>471</v>
      </c>
      <c r="B98" s="16" t="s">
        <v>472</v>
      </c>
      <c r="C98" s="17" t="s">
        <v>104</v>
      </c>
      <c r="D98" s="7" t="str">
        <f aca="false">INDEX(Tuning!$C$5:$C$19,MATCH($C98,Tuning!$A$5:$A$19,0))</f>
        <v>Human</v>
      </c>
      <c r="E98" s="16" t="s">
        <v>168</v>
      </c>
      <c r="F98" s="7" t="s">
        <v>24</v>
      </c>
      <c r="G98" s="7" t="n">
        <v>4</v>
      </c>
      <c r="H98" s="16" t="s">
        <v>473</v>
      </c>
      <c r="I98" s="16" t="s">
        <v>338</v>
      </c>
      <c r="J98" s="16"/>
      <c r="K98" s="18" t="n">
        <v>3</v>
      </c>
      <c r="L98" s="18" t="n">
        <v>0.4</v>
      </c>
      <c r="M98" s="19" t="n">
        <f aca="false">ROUND(INDEX(Tuning!$D$5:$D$19,MATCH($C98,Tuning!$A$5:$A$19,0))*INDEX(Tuning!$B$24:$B$29,MATCH($F98,Tuning!$A$24:$A$29,0))*K98,1)</f>
        <v>28.8</v>
      </c>
      <c r="N98" s="20" t="n">
        <f aca="false">ROUND(INDEX(Tuning!$E$5:$E$19,MATCH($C98,Tuning!$A$5:$A$19,0))*L98,2)</f>
        <v>1.2</v>
      </c>
      <c r="O98" s="19" t="n">
        <f aca="false">ROUND(M98*N98,1)</f>
        <v>34.6</v>
      </c>
      <c r="P98" s="7" t="n">
        <f aca="false">INDEX(Tuning!$G$5:$G$19,MATCH($C98,Tuning!$A$5:$A$19,0))</f>
        <v>420</v>
      </c>
      <c r="Q98" s="16" t="s">
        <v>474</v>
      </c>
    </row>
    <row r="99" customFormat="false" ht="30" hidden="false" customHeight="true" outlineLevel="0" collapsed="false">
      <c r="A99" s="7" t="s">
        <v>475</v>
      </c>
      <c r="B99" s="16" t="s">
        <v>476</v>
      </c>
      <c r="C99" s="17" t="s">
        <v>104</v>
      </c>
      <c r="D99" s="7" t="str">
        <f aca="false">INDEX(Tuning!$C$5:$C$19,MATCH($C99,Tuning!$A$5:$A$19,0))</f>
        <v>Human</v>
      </c>
      <c r="E99" s="16" t="s">
        <v>168</v>
      </c>
      <c r="F99" s="7" t="s">
        <v>25</v>
      </c>
      <c r="G99" s="7" t="n">
        <v>4</v>
      </c>
      <c r="H99" s="16" t="s">
        <v>477</v>
      </c>
      <c r="I99" s="16" t="s">
        <v>276</v>
      </c>
      <c r="J99" s="16"/>
      <c r="K99" s="18" t="n">
        <v>1</v>
      </c>
      <c r="L99" s="18" t="n">
        <v>1</v>
      </c>
      <c r="M99" s="19" t="n">
        <f aca="false">ROUND(INDEX(Tuning!$D$5:$D$19,MATCH($C99,Tuning!$A$5:$A$19,0))*INDEX(Tuning!$B$24:$B$29,MATCH($F99,Tuning!$A$24:$A$29,0))*K99,1)</f>
        <v>10.4</v>
      </c>
      <c r="N99" s="20" t="n">
        <f aca="false">ROUND(INDEX(Tuning!$E$5:$E$19,MATCH($C99,Tuning!$A$5:$A$19,0))*L99,2)</f>
        <v>3</v>
      </c>
      <c r="O99" s="19" t="n">
        <f aca="false">ROUND(M99*N99,1)</f>
        <v>31.2</v>
      </c>
      <c r="P99" s="7" t="n">
        <f aca="false">INDEX(Tuning!$G$5:$G$19,MATCH($C99,Tuning!$A$5:$A$19,0))</f>
        <v>420</v>
      </c>
      <c r="Q99" s="16" t="s">
        <v>478</v>
      </c>
    </row>
    <row r="100" customFormat="false" ht="30" hidden="false" customHeight="true" outlineLevel="0" collapsed="false">
      <c r="A100" s="7" t="s">
        <v>479</v>
      </c>
      <c r="B100" s="16" t="s">
        <v>480</v>
      </c>
      <c r="C100" s="17" t="s">
        <v>129</v>
      </c>
      <c r="D100" s="7" t="str">
        <f aca="false">INDEX(Tuning!$C$5:$C$19,MATCH($C100,Tuning!$A$5:$A$19,0))</f>
        <v>Demon</v>
      </c>
      <c r="E100" s="16" t="s">
        <v>168</v>
      </c>
      <c r="F100" s="7" t="s">
        <v>25</v>
      </c>
      <c r="G100" s="7" t="n">
        <v>4</v>
      </c>
      <c r="H100" s="16" t="s">
        <v>481</v>
      </c>
      <c r="I100" s="16" t="s">
        <v>276</v>
      </c>
      <c r="J100" s="16"/>
      <c r="K100" s="18" t="n">
        <v>1</v>
      </c>
      <c r="L100" s="18" t="n">
        <v>1</v>
      </c>
      <c r="M100" s="19" t="n">
        <f aca="false">ROUND(INDEX(Tuning!$D$5:$D$19,MATCH($C100,Tuning!$A$5:$A$19,0))*INDEX(Tuning!$B$24:$B$29,MATCH($F100,Tuning!$A$24:$A$29,0))*K100,1)</f>
        <v>23.4</v>
      </c>
      <c r="N100" s="20" t="n">
        <f aca="false">ROUND(INDEX(Tuning!$E$5:$E$19,MATCH($C100,Tuning!$A$5:$A$19,0))*L100,2)</f>
        <v>1</v>
      </c>
      <c r="O100" s="19" t="n">
        <f aca="false">ROUND(M100*N100,1)</f>
        <v>23.4</v>
      </c>
      <c r="P100" s="7" t="n">
        <f aca="false">INDEX(Tuning!$G$5:$G$19,MATCH($C100,Tuning!$A$5:$A$19,0))</f>
        <v>90</v>
      </c>
      <c r="Q100" s="16" t="s">
        <v>482</v>
      </c>
    </row>
    <row r="101" customFormat="false" ht="30" hidden="false" customHeight="true" outlineLevel="0" collapsed="false">
      <c r="A101" s="7" t="s">
        <v>483</v>
      </c>
      <c r="B101" s="16" t="s">
        <v>484</v>
      </c>
      <c r="C101" s="17" t="s">
        <v>167</v>
      </c>
      <c r="D101" s="7" t="str">
        <f aca="false">INDEX(Tuning!$C$5:$C$19,MATCH($C101,Tuning!$A$5:$A$19,0))</f>
        <v>Alien</v>
      </c>
      <c r="E101" s="16" t="s">
        <v>168</v>
      </c>
      <c r="F101" s="7" t="s">
        <v>25</v>
      </c>
      <c r="G101" s="7" t="n">
        <v>4</v>
      </c>
      <c r="H101" s="16" t="s">
        <v>485</v>
      </c>
      <c r="I101" s="16" t="s">
        <v>276</v>
      </c>
      <c r="J101" s="16"/>
      <c r="K101" s="18" t="n">
        <v>1</v>
      </c>
      <c r="L101" s="18" t="n">
        <v>1</v>
      </c>
      <c r="M101" s="19" t="n">
        <f aca="false">ROUND(INDEX(Tuning!$D$5:$D$19,MATCH($C101,Tuning!$A$5:$A$19,0))*INDEX(Tuning!$B$24:$B$29,MATCH($F101,Tuning!$A$24:$A$29,0))*K101,1)</f>
        <v>9.1</v>
      </c>
      <c r="N101" s="20" t="n">
        <f aca="false">ROUND(INDEX(Tuning!$E$5:$E$19,MATCH($C101,Tuning!$A$5:$A$19,0))*L101,2)</f>
        <v>2.5</v>
      </c>
      <c r="O101" s="19" t="n">
        <f aca="false">ROUND(M101*N101,1)</f>
        <v>22.8</v>
      </c>
      <c r="P101" s="7" t="n">
        <f aca="false">INDEX(Tuning!$G$5:$G$19,MATCH($C101,Tuning!$A$5:$A$19,0))</f>
        <v>300</v>
      </c>
      <c r="Q101" s="16" t="s">
        <v>486</v>
      </c>
    </row>
    <row r="102" customFormat="false" ht="30" hidden="false" customHeight="true" outlineLevel="0" collapsed="false">
      <c r="A102" s="7" t="s">
        <v>487</v>
      </c>
      <c r="B102" s="16" t="s">
        <v>488</v>
      </c>
      <c r="C102" s="17" t="s">
        <v>62</v>
      </c>
      <c r="D102" s="7" t="str">
        <f aca="false">INDEX(Tuning!$C$5:$C$19,MATCH($C102,Tuning!$A$5:$A$19,0))</f>
        <v>Demon</v>
      </c>
      <c r="E102" s="16" t="s">
        <v>77</v>
      </c>
      <c r="F102" s="7" t="s">
        <v>26</v>
      </c>
      <c r="G102" s="7" t="n">
        <v>6</v>
      </c>
      <c r="H102" s="16" t="s">
        <v>489</v>
      </c>
      <c r="I102" s="16" t="s">
        <v>490</v>
      </c>
      <c r="J102" s="16"/>
      <c r="K102" s="18" t="n">
        <v>1</v>
      </c>
      <c r="L102" s="18" t="n">
        <v>1</v>
      </c>
      <c r="M102" s="19" t="n">
        <f aca="false">ROUND(INDEX(Tuning!$D$5:$D$19,MATCH($C102,Tuning!$A$5:$A$19,0))*INDEX(Tuning!$B$24:$B$29,MATCH($F102,Tuning!$A$24:$A$29,0))*K102,1)</f>
        <v>36.4</v>
      </c>
      <c r="N102" s="20" t="n">
        <f aca="false">ROUND(INDEX(Tuning!$E$5:$E$19,MATCH($C102,Tuning!$A$5:$A$19,0))*L102,2)</f>
        <v>0.8</v>
      </c>
      <c r="O102" s="19" t="n">
        <f aca="false">ROUND(M102*N102,1)</f>
        <v>29.1</v>
      </c>
      <c r="P102" s="7" t="n">
        <f aca="false">INDEX(Tuning!$G$5:$G$19,MATCH($C102,Tuning!$A$5:$A$19,0))</f>
        <v>95</v>
      </c>
      <c r="Q102" s="16" t="s">
        <v>491</v>
      </c>
    </row>
  </sheetData>
  <autoFilter ref="A1:Q102"/>
  <conditionalFormatting sqref="F2:F500">
    <cfRule type="cellIs" priority="2" operator="equal" aboveAverage="0" equalAverage="0" bottom="0" percent="0" rank="0" text="" dxfId="10">
      <formula>"Common"</formula>
    </cfRule>
    <cfRule type="cellIs" priority="3" operator="equal" aboveAverage="0" equalAverage="0" bottom="0" percent="0" rank="0" text="" dxfId="11">
      <formula>"Uncommon"</formula>
    </cfRule>
    <cfRule type="cellIs" priority="4" operator="equal" aboveAverage="0" equalAverage="0" bottom="0" percent="0" rank="0" text="" dxfId="12">
      <formula>"Rare"</formula>
    </cfRule>
    <cfRule type="cellIs" priority="5" operator="equal" aboveAverage="0" equalAverage="0" bottom="0" percent="0" rank="0" text="" dxfId="13">
      <formula>"Epic"</formula>
    </cfRule>
    <cfRule type="cellIs" priority="6" operator="equal" aboveAverage="0" equalAverage="0" bottom="0" percent="0" rank="0" text="" dxfId="14">
      <formula>"Legendary"</formula>
    </cfRule>
    <cfRule type="cellIs" priority="7" operator="equal" aboveAverage="0" equalAverage="0" bottom="0" percent="0" rank="0" text="" dxfId="15">
      <formula>"Mythic"</formula>
    </cfRule>
  </conditionalFormatting>
  <dataValidations count="3">
    <dataValidation allowBlank="true" errorStyle="stop" operator="between" showDropDown="false" showErrorMessage="false" showInputMessage="false" sqref="F2:F500" type="list">
      <formula1>Tuning!$A$24:$A$29</formula1>
      <formula2>0</formula2>
    </dataValidation>
    <dataValidation allowBlank="true" errorStyle="stop" operator="between" showDropDown="false" showErrorMessage="false" showInputMessage="false" sqref="G2:G500" type="whole">
      <formula1>1</formula1>
      <formula2>6</formula2>
    </dataValidation>
    <dataValidation allowBlank="true" errorStyle="stop" operator="between" showDropDown="false" showErrorMessage="false" showInputMessage="false" sqref="C2:C500" type="list">
      <formula1>Tuning!$A$5:$A$19</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11"/>
    <col collapsed="false" customWidth="true" hidden="false" outlineLevel="0" max="4" min="4" style="0" width="7"/>
    <col collapsed="false" customWidth="true" hidden="false" outlineLevel="0" max="6" min="5" style="0" width="9"/>
    <col collapsed="false" customWidth="true" hidden="false" outlineLevel="0" max="7" min="7" style="0" width="62"/>
    <col collapsed="false" customWidth="true" hidden="false" outlineLevel="0" max="8" min="8" style="0" width="26"/>
    <col collapsed="false" customWidth="true" hidden="false" outlineLevel="0" max="9" min="9" style="0" width="12"/>
    <col collapsed="false" customWidth="true" hidden="false" outlineLevel="0" max="10" min="10" style="0" width="11"/>
  </cols>
  <sheetData>
    <row r="1" customFormat="false" ht="27.75" hidden="false" customHeight="true" outlineLevel="0" collapsed="false">
      <c r="A1" s="6" t="s">
        <v>27</v>
      </c>
      <c r="B1" s="6" t="s">
        <v>28</v>
      </c>
      <c r="C1" s="6" t="s">
        <v>32</v>
      </c>
      <c r="D1" s="6" t="s">
        <v>13</v>
      </c>
      <c r="E1" s="6" t="s">
        <v>492</v>
      </c>
      <c r="F1" s="6" t="s">
        <v>493</v>
      </c>
      <c r="G1" s="6" t="s">
        <v>494</v>
      </c>
      <c r="H1" s="6" t="s">
        <v>34</v>
      </c>
      <c r="I1" s="6" t="s">
        <v>35</v>
      </c>
      <c r="J1" s="6" t="s">
        <v>42</v>
      </c>
    </row>
    <row r="2" customFormat="false" ht="16.5" hidden="false" customHeight="true" outlineLevel="0" collapsed="false">
      <c r="A2" s="7" t="s">
        <v>495</v>
      </c>
      <c r="B2" s="16" t="s">
        <v>496</v>
      </c>
      <c r="C2" s="7" t="s">
        <v>21</v>
      </c>
      <c r="D2" s="7" t="n">
        <v>1</v>
      </c>
      <c r="E2" s="7" t="n">
        <f aca="false">INDEX(Tuning!$D$24:$D$29,MATCH($C2,Tuning!$A$24:$A$29,0))</f>
        <v>3</v>
      </c>
      <c r="F2" s="7" t="n">
        <f aca="false">INDEX(Tuning!$E$24:$E$29,MATCH($C2,Tuning!$A$24:$A$29,0))</f>
        <v>10</v>
      </c>
      <c r="G2" s="16" t="s">
        <v>497</v>
      </c>
      <c r="H2" s="16" t="s">
        <v>498</v>
      </c>
      <c r="I2" s="16"/>
      <c r="J2" s="16" t="s">
        <v>49</v>
      </c>
    </row>
    <row r="3" customFormat="false" ht="16.5" hidden="false" customHeight="true" outlineLevel="0" collapsed="false">
      <c r="A3" s="7" t="s">
        <v>499</v>
      </c>
      <c r="B3" s="16" t="s">
        <v>500</v>
      </c>
      <c r="C3" s="7" t="s">
        <v>22</v>
      </c>
      <c r="D3" s="7" t="n">
        <v>1</v>
      </c>
      <c r="E3" s="7" t="n">
        <f aca="false">INDEX(Tuning!$D$24:$D$29,MATCH($C3,Tuning!$A$24:$A$29,0))</f>
        <v>4</v>
      </c>
      <c r="F3" s="7" t="n">
        <f aca="false">INDEX(Tuning!$E$24:$E$29,MATCH($C3,Tuning!$A$24:$A$29,0))</f>
        <v>15</v>
      </c>
      <c r="G3" s="16" t="s">
        <v>501</v>
      </c>
      <c r="H3" s="16" t="s">
        <v>53</v>
      </c>
      <c r="I3" s="16"/>
      <c r="J3" s="16" t="s">
        <v>49</v>
      </c>
    </row>
    <row r="4" customFormat="false" ht="16.5" hidden="false" customHeight="true" outlineLevel="0" collapsed="false">
      <c r="A4" s="7" t="s">
        <v>502</v>
      </c>
      <c r="B4" s="16" t="s">
        <v>503</v>
      </c>
      <c r="C4" s="7" t="s">
        <v>23</v>
      </c>
      <c r="D4" s="7" t="n">
        <v>1</v>
      </c>
      <c r="E4" s="7" t="n">
        <f aca="false">INDEX(Tuning!$D$24:$D$29,MATCH($C4,Tuning!$A$24:$A$29,0))</f>
        <v>5</v>
      </c>
      <c r="F4" s="7" t="n">
        <f aca="false">INDEX(Tuning!$E$24:$E$29,MATCH($C4,Tuning!$A$24:$A$29,0))</f>
        <v>20</v>
      </c>
      <c r="G4" s="16" t="s">
        <v>504</v>
      </c>
      <c r="H4" s="16" t="s">
        <v>58</v>
      </c>
      <c r="I4" s="16"/>
      <c r="J4" s="16" t="s">
        <v>49</v>
      </c>
    </row>
    <row r="5" customFormat="false" ht="16.5" hidden="false" customHeight="true" outlineLevel="0" collapsed="false">
      <c r="A5" s="7" t="s">
        <v>505</v>
      </c>
      <c r="B5" s="16" t="s">
        <v>506</v>
      </c>
      <c r="C5" s="7" t="s">
        <v>24</v>
      </c>
      <c r="D5" s="7" t="n">
        <v>2</v>
      </c>
      <c r="E5" s="7" t="n">
        <f aca="false">INDEX(Tuning!$D$24:$D$29,MATCH($C5,Tuning!$A$24:$A$29,0))</f>
        <v>6</v>
      </c>
      <c r="F5" s="7" t="n">
        <f aca="false">INDEX(Tuning!$E$24:$E$29,MATCH($C5,Tuning!$A$24:$A$29,0))</f>
        <v>25</v>
      </c>
      <c r="G5" s="16" t="s">
        <v>507</v>
      </c>
      <c r="H5" s="16" t="s">
        <v>125</v>
      </c>
      <c r="I5" s="16"/>
      <c r="J5" s="16" t="s">
        <v>508</v>
      </c>
    </row>
    <row r="6" customFormat="false" ht="30" hidden="false" customHeight="true" outlineLevel="0" collapsed="false">
      <c r="A6" s="7" t="s">
        <v>509</v>
      </c>
      <c r="B6" s="16" t="s">
        <v>510</v>
      </c>
      <c r="C6" s="7" t="s">
        <v>25</v>
      </c>
      <c r="D6" s="7" t="n">
        <v>2</v>
      </c>
      <c r="E6" s="7" t="n">
        <f aca="false">INDEX(Tuning!$D$24:$D$29,MATCH($C6,Tuning!$A$24:$A$29,0))</f>
        <v>8</v>
      </c>
      <c r="F6" s="7" t="n">
        <f aca="false">INDEX(Tuning!$E$24:$E$29,MATCH($C6,Tuning!$A$24:$A$29,0))</f>
        <v>35</v>
      </c>
      <c r="G6" s="16" t="s">
        <v>511</v>
      </c>
      <c r="H6" s="16" t="s">
        <v>125</v>
      </c>
      <c r="I6" s="16"/>
      <c r="J6" s="16" t="s">
        <v>512</v>
      </c>
    </row>
    <row r="7" customFormat="false" ht="16.5" hidden="false" customHeight="true" outlineLevel="0" collapsed="false">
      <c r="A7" s="7" t="s">
        <v>513</v>
      </c>
      <c r="B7" s="16" t="s">
        <v>514</v>
      </c>
      <c r="C7" s="7" t="s">
        <v>24</v>
      </c>
      <c r="D7" s="7" t="n">
        <v>2</v>
      </c>
      <c r="E7" s="7" t="n">
        <f aca="false">INDEX(Tuning!$D$24:$D$29,MATCH($C7,Tuning!$A$24:$A$29,0))</f>
        <v>6</v>
      </c>
      <c r="F7" s="7" t="n">
        <f aca="false">INDEX(Tuning!$E$24:$E$29,MATCH($C7,Tuning!$A$24:$A$29,0))</f>
        <v>25</v>
      </c>
      <c r="G7" s="16" t="s">
        <v>515</v>
      </c>
      <c r="H7" s="16" t="s">
        <v>196</v>
      </c>
      <c r="I7" s="16"/>
      <c r="J7" s="16" t="s">
        <v>516</v>
      </c>
    </row>
    <row r="8" customFormat="false" ht="16.5" hidden="false" customHeight="true" outlineLevel="0" collapsed="false">
      <c r="A8" s="7" t="s">
        <v>517</v>
      </c>
      <c r="B8" s="16" t="s">
        <v>518</v>
      </c>
      <c r="C8" s="7" t="s">
        <v>24</v>
      </c>
      <c r="D8" s="7" t="n">
        <v>2</v>
      </c>
      <c r="E8" s="7" t="n">
        <f aca="false">INDEX(Tuning!$D$24:$D$29,MATCH($C8,Tuning!$A$24:$A$29,0))</f>
        <v>6</v>
      </c>
      <c r="F8" s="7" t="n">
        <f aca="false">INDEX(Tuning!$E$24:$E$29,MATCH($C8,Tuning!$A$24:$A$29,0))</f>
        <v>25</v>
      </c>
      <c r="G8" s="16" t="s">
        <v>519</v>
      </c>
      <c r="H8" s="16" t="s">
        <v>135</v>
      </c>
      <c r="I8" s="16"/>
      <c r="J8" s="16" t="s">
        <v>520</v>
      </c>
    </row>
    <row r="9" customFormat="false" ht="30" hidden="false" customHeight="true" outlineLevel="0" collapsed="false">
      <c r="A9" s="7" t="s">
        <v>521</v>
      </c>
      <c r="B9" s="16" t="s">
        <v>522</v>
      </c>
      <c r="C9" s="7" t="s">
        <v>26</v>
      </c>
      <c r="D9" s="7" t="n">
        <v>2</v>
      </c>
      <c r="E9" s="7" t="n">
        <f aca="false">INDEX(Tuning!$D$24:$D$29,MATCH($C9,Tuning!$A$24:$A$29,0))</f>
        <v>10</v>
      </c>
      <c r="F9" s="7" t="n">
        <f aca="false">INDEX(Tuning!$E$24:$E$29,MATCH($C9,Tuning!$A$24:$A$29,0))</f>
        <v>45</v>
      </c>
      <c r="G9" s="16" t="s">
        <v>523</v>
      </c>
      <c r="H9" s="16" t="s">
        <v>144</v>
      </c>
      <c r="I9" s="16" t="s">
        <v>145</v>
      </c>
      <c r="J9" s="16" t="s">
        <v>524</v>
      </c>
    </row>
    <row r="10" customFormat="false" ht="30" hidden="false" customHeight="true" outlineLevel="0" collapsed="false">
      <c r="A10" s="7" t="s">
        <v>525</v>
      </c>
      <c r="B10" s="16" t="s">
        <v>526</v>
      </c>
      <c r="C10" s="7" t="s">
        <v>25</v>
      </c>
      <c r="D10" s="7" t="n">
        <v>4</v>
      </c>
      <c r="E10" s="7" t="n">
        <f aca="false">INDEX(Tuning!$D$24:$D$29,MATCH($C10,Tuning!$A$24:$A$29,0))</f>
        <v>8</v>
      </c>
      <c r="F10" s="7" t="n">
        <f aca="false">INDEX(Tuning!$E$24:$E$29,MATCH($C10,Tuning!$A$24:$A$29,0))</f>
        <v>35</v>
      </c>
      <c r="G10" s="16" t="s">
        <v>527</v>
      </c>
      <c r="H10" s="16" t="s">
        <v>263</v>
      </c>
      <c r="I10" s="16"/>
      <c r="J10" s="16" t="s">
        <v>528</v>
      </c>
    </row>
    <row r="11" customFormat="false" ht="16.5" hidden="false" customHeight="true" outlineLevel="0" collapsed="false">
      <c r="A11" s="7" t="s">
        <v>529</v>
      </c>
      <c r="B11" s="16" t="s">
        <v>530</v>
      </c>
      <c r="C11" s="7" t="s">
        <v>24</v>
      </c>
      <c r="D11" s="7" t="n">
        <v>4</v>
      </c>
      <c r="E11" s="7" t="n">
        <f aca="false">INDEX(Tuning!$D$24:$D$29,MATCH($C11,Tuning!$A$24:$A$29,0))</f>
        <v>6</v>
      </c>
      <c r="F11" s="7" t="n">
        <f aca="false">INDEX(Tuning!$E$24:$E$29,MATCH($C11,Tuning!$A$24:$A$29,0))</f>
        <v>25</v>
      </c>
      <c r="G11" s="16" t="s">
        <v>531</v>
      </c>
      <c r="H11" s="16" t="s">
        <v>271</v>
      </c>
      <c r="I11" s="16"/>
      <c r="J11" s="16" t="s">
        <v>532</v>
      </c>
    </row>
    <row r="12" customFormat="false" ht="16.5" hidden="false" customHeight="true" outlineLevel="0" collapsed="false">
      <c r="A12" s="7" t="s">
        <v>533</v>
      </c>
      <c r="B12" s="16" t="s">
        <v>534</v>
      </c>
      <c r="C12" s="7" t="s">
        <v>24</v>
      </c>
      <c r="D12" s="7" t="n">
        <v>4</v>
      </c>
      <c r="E12" s="7" t="n">
        <f aca="false">INDEX(Tuning!$D$24:$D$29,MATCH($C12,Tuning!$A$24:$A$29,0))</f>
        <v>6</v>
      </c>
      <c r="F12" s="7" t="n">
        <f aca="false">INDEX(Tuning!$E$24:$E$29,MATCH($C12,Tuning!$A$24:$A$29,0))</f>
        <v>25</v>
      </c>
      <c r="G12" s="16" t="s">
        <v>535</v>
      </c>
      <c r="H12" s="16" t="s">
        <v>338</v>
      </c>
      <c r="I12" s="16"/>
      <c r="J12" s="16" t="s">
        <v>536</v>
      </c>
    </row>
    <row r="13" customFormat="false" ht="30" hidden="false" customHeight="true" outlineLevel="0" collapsed="false">
      <c r="A13" s="7" t="s">
        <v>537</v>
      </c>
      <c r="B13" s="16" t="s">
        <v>538</v>
      </c>
      <c r="C13" s="7" t="s">
        <v>24</v>
      </c>
      <c r="D13" s="7" t="n">
        <v>4</v>
      </c>
      <c r="E13" s="7" t="n">
        <f aca="false">INDEX(Tuning!$D$24:$D$29,MATCH($C13,Tuning!$A$24:$A$29,0))</f>
        <v>6</v>
      </c>
      <c r="F13" s="7" t="n">
        <f aca="false">INDEX(Tuning!$E$24:$E$29,MATCH($C13,Tuning!$A$24:$A$29,0))</f>
        <v>25</v>
      </c>
      <c r="G13" s="16" t="s">
        <v>539</v>
      </c>
      <c r="H13" s="16" t="s">
        <v>338</v>
      </c>
      <c r="I13" s="16"/>
      <c r="J13" s="16" t="s">
        <v>540</v>
      </c>
    </row>
    <row r="14" customFormat="false" ht="30" hidden="false" customHeight="true" outlineLevel="0" collapsed="false">
      <c r="A14" s="7" t="s">
        <v>541</v>
      </c>
      <c r="B14" s="16" t="s">
        <v>542</v>
      </c>
      <c r="C14" s="7" t="s">
        <v>25</v>
      </c>
      <c r="D14" s="7" t="n">
        <v>4</v>
      </c>
      <c r="E14" s="7" t="n">
        <f aca="false">INDEX(Tuning!$D$24:$D$29,MATCH($C14,Tuning!$A$24:$A$29,0))</f>
        <v>8</v>
      </c>
      <c r="F14" s="7" t="n">
        <f aca="false">INDEX(Tuning!$E$24:$E$29,MATCH($C14,Tuning!$A$24:$A$29,0))</f>
        <v>35</v>
      </c>
      <c r="G14" s="16" t="s">
        <v>543</v>
      </c>
      <c r="H14" s="16" t="s">
        <v>263</v>
      </c>
      <c r="I14" s="16"/>
      <c r="J14" s="16" t="s">
        <v>544</v>
      </c>
    </row>
    <row r="15" customFormat="false" ht="30" hidden="false" customHeight="true" outlineLevel="0" collapsed="false">
      <c r="A15" s="7" t="s">
        <v>545</v>
      </c>
      <c r="B15" s="16" t="s">
        <v>546</v>
      </c>
      <c r="C15" s="7" t="s">
        <v>25</v>
      </c>
      <c r="D15" s="7" t="n">
        <v>4</v>
      </c>
      <c r="E15" s="7" t="n">
        <f aca="false">INDEX(Tuning!$D$24:$D$29,MATCH($C15,Tuning!$A$24:$A$29,0))</f>
        <v>8</v>
      </c>
      <c r="F15" s="7" t="n">
        <f aca="false">INDEX(Tuning!$E$24:$E$29,MATCH($C15,Tuning!$A$24:$A$29,0))</f>
        <v>35</v>
      </c>
      <c r="G15" s="16" t="s">
        <v>547</v>
      </c>
      <c r="H15" s="16" t="s">
        <v>276</v>
      </c>
      <c r="I15" s="16"/>
      <c r="J15" s="16" t="s">
        <v>548</v>
      </c>
    </row>
    <row r="16" customFormat="false" ht="30" hidden="false" customHeight="true" outlineLevel="0" collapsed="false">
      <c r="A16" s="7" t="s">
        <v>549</v>
      </c>
      <c r="B16" s="16" t="s">
        <v>550</v>
      </c>
      <c r="C16" s="7" t="s">
        <v>25</v>
      </c>
      <c r="D16" s="7" t="n">
        <v>4</v>
      </c>
      <c r="E16" s="7" t="n">
        <f aca="false">INDEX(Tuning!$D$24:$D$29,MATCH($C16,Tuning!$A$24:$A$29,0))</f>
        <v>8</v>
      </c>
      <c r="F16" s="7" t="n">
        <f aca="false">INDEX(Tuning!$E$24:$E$29,MATCH($C16,Tuning!$A$24:$A$29,0))</f>
        <v>35</v>
      </c>
      <c r="G16" s="16" t="s">
        <v>551</v>
      </c>
      <c r="H16" s="16" t="s">
        <v>276</v>
      </c>
      <c r="I16" s="16"/>
      <c r="J16" s="16" t="s">
        <v>552</v>
      </c>
    </row>
    <row r="17" customFormat="false" ht="30" hidden="false" customHeight="true" outlineLevel="0" collapsed="false">
      <c r="A17" s="7" t="s">
        <v>553</v>
      </c>
      <c r="B17" s="16" t="s">
        <v>554</v>
      </c>
      <c r="C17" s="7" t="s">
        <v>26</v>
      </c>
      <c r="D17" s="7" t="n">
        <v>6</v>
      </c>
      <c r="E17" s="7" t="n">
        <f aca="false">INDEX(Tuning!$D$24:$D$29,MATCH($C17,Tuning!$A$24:$A$29,0))</f>
        <v>10</v>
      </c>
      <c r="F17" s="7" t="n">
        <f aca="false">INDEX(Tuning!$E$24:$E$29,MATCH($C17,Tuning!$A$24:$A$29,0))</f>
        <v>45</v>
      </c>
      <c r="G17" s="16" t="s">
        <v>555</v>
      </c>
      <c r="H17" s="16" t="s">
        <v>490</v>
      </c>
      <c r="I17" s="16"/>
      <c r="J17" s="16" t="s">
        <v>556</v>
      </c>
    </row>
    <row r="18" customFormat="false" ht="30" hidden="false" customHeight="true" outlineLevel="0" collapsed="false">
      <c r="A18" s="7" t="s">
        <v>557</v>
      </c>
      <c r="B18" s="16" t="s">
        <v>558</v>
      </c>
      <c r="C18" s="7" t="s">
        <v>26</v>
      </c>
      <c r="D18" s="7" t="n">
        <v>6</v>
      </c>
      <c r="E18" s="7" t="n">
        <f aca="false">INDEX(Tuning!$D$24:$D$29,MATCH($C18,Tuning!$A$24:$A$29,0))</f>
        <v>10</v>
      </c>
      <c r="F18" s="7" t="n">
        <f aca="false">INDEX(Tuning!$E$24:$E$29,MATCH($C18,Tuning!$A$24:$A$29,0))</f>
        <v>45</v>
      </c>
      <c r="G18" s="16" t="s">
        <v>559</v>
      </c>
      <c r="H18" s="16" t="s">
        <v>490</v>
      </c>
      <c r="I18" s="16"/>
      <c r="J18" s="16" t="s">
        <v>560</v>
      </c>
    </row>
  </sheetData>
  <autoFilter ref="A1:J18"/>
  <conditionalFormatting sqref="C2:C300">
    <cfRule type="cellIs" priority="2" operator="equal" aboveAverage="0" equalAverage="0" bottom="0" percent="0" rank="0" text="" dxfId="10">
      <formula>"Common"</formula>
    </cfRule>
    <cfRule type="cellIs" priority="3" operator="equal" aboveAverage="0" equalAverage="0" bottom="0" percent="0" rank="0" text="" dxfId="11">
      <formula>"Uncommon"</formula>
    </cfRule>
    <cfRule type="cellIs" priority="4" operator="equal" aboveAverage="0" equalAverage="0" bottom="0" percent="0" rank="0" text="" dxfId="12">
      <formula>"Rare"</formula>
    </cfRule>
    <cfRule type="cellIs" priority="5" operator="equal" aboveAverage="0" equalAverage="0" bottom="0" percent="0" rank="0" text="" dxfId="13">
      <formula>"Epic"</formula>
    </cfRule>
    <cfRule type="cellIs" priority="6" operator="equal" aboveAverage="0" equalAverage="0" bottom="0" percent="0" rank="0" text="" dxfId="14">
      <formula>"Legendary"</formula>
    </cfRule>
    <cfRule type="cellIs" priority="7" operator="equal" aboveAverage="0" equalAverage="0" bottom="0" percent="0" rank="0" text="" dxfId="15">
      <formula>"Mythic"</formula>
    </cfRule>
  </conditionalFormatting>
  <dataValidations count="2">
    <dataValidation allowBlank="true" errorStyle="stop" operator="between" showDropDown="false" showErrorMessage="false" showInputMessage="false" sqref="D2:D300" type="whole">
      <formula1>1</formula1>
      <formula2>6</formula2>
    </dataValidation>
    <dataValidation allowBlank="true" errorStyle="stop" operator="between" showDropDown="false" showErrorMessage="false" showInputMessage="false" sqref="C2:C300" type="list">
      <formula1>Tuning!$A$24:$A$29</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11"/>
    <col collapsed="false" customWidth="true" hidden="false" outlineLevel="0" max="4" min="4" style="0" width="7"/>
    <col collapsed="false" customWidth="true" hidden="false" outlineLevel="0" max="5" min="5" style="0" width="70"/>
    <col collapsed="false" customWidth="true" hidden="false" outlineLevel="0" max="6" min="6" style="0" width="26"/>
    <col collapsed="false" customWidth="true" hidden="false" outlineLevel="0" max="7" min="7" style="0" width="13"/>
    <col collapsed="false" customWidth="true" hidden="false" outlineLevel="0" max="8" min="8" style="0" width="11"/>
  </cols>
  <sheetData>
    <row r="1" customFormat="false" ht="27.75" hidden="false" customHeight="true" outlineLevel="0" collapsed="false">
      <c r="A1" s="6" t="s">
        <v>27</v>
      </c>
      <c r="B1" s="6" t="s">
        <v>28</v>
      </c>
      <c r="C1" s="6" t="s">
        <v>32</v>
      </c>
      <c r="D1" s="6" t="s">
        <v>13</v>
      </c>
      <c r="E1" s="6" t="s">
        <v>494</v>
      </c>
      <c r="F1" s="6" t="s">
        <v>34</v>
      </c>
      <c r="G1" s="6" t="s">
        <v>35</v>
      </c>
      <c r="H1" s="6" t="s">
        <v>42</v>
      </c>
    </row>
    <row r="2" customFormat="false" ht="16.5" hidden="false" customHeight="true" outlineLevel="0" collapsed="false">
      <c r="A2" s="7" t="s">
        <v>561</v>
      </c>
      <c r="B2" s="16" t="s">
        <v>562</v>
      </c>
      <c r="C2" s="7" t="s">
        <v>22</v>
      </c>
      <c r="D2" s="7" t="n">
        <v>2</v>
      </c>
      <c r="E2" s="16" t="s">
        <v>563</v>
      </c>
      <c r="F2" s="16" t="s">
        <v>106</v>
      </c>
      <c r="G2" s="16"/>
      <c r="H2" s="16" t="s">
        <v>564</v>
      </c>
    </row>
    <row r="3" customFormat="false" ht="16.5" hidden="false" customHeight="true" outlineLevel="0" collapsed="false">
      <c r="A3" s="7" t="s">
        <v>565</v>
      </c>
      <c r="B3" s="16" t="s">
        <v>566</v>
      </c>
      <c r="C3" s="7" t="s">
        <v>22</v>
      </c>
      <c r="D3" s="7" t="n">
        <v>2</v>
      </c>
      <c r="E3" s="16" t="s">
        <v>567</v>
      </c>
      <c r="F3" s="16" t="s">
        <v>187</v>
      </c>
      <c r="G3" s="16"/>
      <c r="H3" s="16" t="s">
        <v>568</v>
      </c>
    </row>
    <row r="4" customFormat="false" ht="30" hidden="false" customHeight="true" outlineLevel="0" collapsed="false">
      <c r="A4" s="7" t="s">
        <v>569</v>
      </c>
      <c r="B4" s="16" t="s">
        <v>570</v>
      </c>
      <c r="C4" s="7" t="s">
        <v>22</v>
      </c>
      <c r="D4" s="7" t="n">
        <v>2</v>
      </c>
      <c r="E4" s="16" t="s">
        <v>571</v>
      </c>
      <c r="F4" s="16" t="s">
        <v>187</v>
      </c>
      <c r="G4" s="16"/>
      <c r="H4" s="16" t="s">
        <v>572</v>
      </c>
    </row>
    <row r="5" customFormat="false" ht="16.5" hidden="false" customHeight="true" outlineLevel="0" collapsed="false">
      <c r="A5" s="7" t="s">
        <v>573</v>
      </c>
      <c r="B5" s="16" t="s">
        <v>574</v>
      </c>
      <c r="C5" s="7" t="s">
        <v>22</v>
      </c>
      <c r="D5" s="7" t="n">
        <v>2</v>
      </c>
      <c r="E5" s="16" t="s">
        <v>575</v>
      </c>
      <c r="F5" s="16" t="s">
        <v>187</v>
      </c>
      <c r="G5" s="16"/>
      <c r="H5" s="16" t="s">
        <v>576</v>
      </c>
    </row>
    <row r="6" customFormat="false" ht="16.5" hidden="false" customHeight="true" outlineLevel="0" collapsed="false">
      <c r="A6" s="7" t="s">
        <v>577</v>
      </c>
      <c r="B6" s="16" t="s">
        <v>578</v>
      </c>
      <c r="C6" s="7" t="s">
        <v>22</v>
      </c>
      <c r="D6" s="7" t="n">
        <v>2</v>
      </c>
      <c r="E6" s="16" t="s">
        <v>579</v>
      </c>
      <c r="F6" s="16" t="s">
        <v>135</v>
      </c>
      <c r="G6" s="16"/>
      <c r="H6" s="16" t="s">
        <v>580</v>
      </c>
    </row>
    <row r="7" customFormat="false" ht="16.5" hidden="false" customHeight="true" outlineLevel="0" collapsed="false">
      <c r="A7" s="7" t="s">
        <v>581</v>
      </c>
      <c r="B7" s="16" t="s">
        <v>582</v>
      </c>
      <c r="C7" s="7" t="s">
        <v>23</v>
      </c>
      <c r="D7" s="7" t="n">
        <v>2</v>
      </c>
      <c r="E7" s="16" t="s">
        <v>583</v>
      </c>
      <c r="F7" s="16" t="s">
        <v>187</v>
      </c>
      <c r="G7" s="16"/>
      <c r="H7" s="16" t="s">
        <v>584</v>
      </c>
    </row>
    <row r="8" customFormat="false" ht="16.5" hidden="false" customHeight="true" outlineLevel="0" collapsed="false">
      <c r="A8" s="7" t="s">
        <v>585</v>
      </c>
      <c r="B8" s="16" t="s">
        <v>586</v>
      </c>
      <c r="C8" s="7" t="s">
        <v>23</v>
      </c>
      <c r="D8" s="7" t="n">
        <v>2</v>
      </c>
      <c r="E8" s="16" t="s">
        <v>587</v>
      </c>
      <c r="F8" s="16" t="s">
        <v>187</v>
      </c>
      <c r="G8" s="16"/>
      <c r="H8" s="16" t="s">
        <v>588</v>
      </c>
    </row>
    <row r="9" customFormat="false" ht="30" hidden="false" customHeight="true" outlineLevel="0" collapsed="false">
      <c r="A9" s="7" t="s">
        <v>589</v>
      </c>
      <c r="B9" s="16" t="s">
        <v>590</v>
      </c>
      <c r="C9" s="7" t="s">
        <v>23</v>
      </c>
      <c r="D9" s="7" t="n">
        <v>2</v>
      </c>
      <c r="E9" s="16" t="s">
        <v>591</v>
      </c>
      <c r="F9" s="16" t="s">
        <v>187</v>
      </c>
      <c r="G9" s="16"/>
      <c r="H9" s="16" t="s">
        <v>592</v>
      </c>
    </row>
    <row r="10" customFormat="false" ht="16.5" hidden="false" customHeight="true" outlineLevel="0" collapsed="false">
      <c r="A10" s="7" t="s">
        <v>593</v>
      </c>
      <c r="B10" s="16" t="s">
        <v>594</v>
      </c>
      <c r="C10" s="7" t="s">
        <v>23</v>
      </c>
      <c r="D10" s="7" t="n">
        <v>2</v>
      </c>
      <c r="E10" s="16" t="s">
        <v>595</v>
      </c>
      <c r="F10" s="16" t="s">
        <v>116</v>
      </c>
      <c r="G10" s="16"/>
      <c r="H10" s="16" t="s">
        <v>596</v>
      </c>
    </row>
    <row r="11" customFormat="false" ht="16.5" hidden="false" customHeight="true" outlineLevel="0" collapsed="false">
      <c r="A11" s="7" t="s">
        <v>597</v>
      </c>
      <c r="B11" s="16" t="s">
        <v>598</v>
      </c>
      <c r="C11" s="7" t="s">
        <v>23</v>
      </c>
      <c r="D11" s="7" t="n">
        <v>2</v>
      </c>
      <c r="E11" s="16" t="s">
        <v>599</v>
      </c>
      <c r="F11" s="16" t="s">
        <v>135</v>
      </c>
      <c r="G11" s="16"/>
      <c r="H11" s="16" t="s">
        <v>600</v>
      </c>
    </row>
    <row r="12" customFormat="false" ht="16.5" hidden="false" customHeight="true" outlineLevel="0" collapsed="false">
      <c r="A12" s="7" t="s">
        <v>601</v>
      </c>
      <c r="B12" s="16" t="s">
        <v>602</v>
      </c>
      <c r="C12" s="7" t="s">
        <v>23</v>
      </c>
      <c r="D12" s="7" t="n">
        <v>2</v>
      </c>
      <c r="E12" s="16" t="s">
        <v>603</v>
      </c>
      <c r="F12" s="16" t="s">
        <v>135</v>
      </c>
      <c r="G12" s="16"/>
      <c r="H12" s="16" t="s">
        <v>604</v>
      </c>
    </row>
    <row r="13" customFormat="false" ht="30" hidden="false" customHeight="true" outlineLevel="0" collapsed="false">
      <c r="A13" s="7" t="s">
        <v>605</v>
      </c>
      <c r="B13" s="16" t="s">
        <v>606</v>
      </c>
      <c r="C13" s="7" t="s">
        <v>23</v>
      </c>
      <c r="D13" s="7" t="n">
        <v>2</v>
      </c>
      <c r="E13" s="16" t="s">
        <v>607</v>
      </c>
      <c r="F13" s="16" t="s">
        <v>116</v>
      </c>
      <c r="G13" s="16"/>
      <c r="H13" s="16" t="s">
        <v>608</v>
      </c>
    </row>
    <row r="14" customFormat="false" ht="16.5" hidden="false" customHeight="true" outlineLevel="0" collapsed="false">
      <c r="A14" s="7" t="s">
        <v>609</v>
      </c>
      <c r="B14" s="16" t="s">
        <v>610</v>
      </c>
      <c r="C14" s="7" t="s">
        <v>23</v>
      </c>
      <c r="D14" s="7" t="n">
        <v>2</v>
      </c>
      <c r="E14" s="16" t="s">
        <v>611</v>
      </c>
      <c r="F14" s="16" t="s">
        <v>232</v>
      </c>
      <c r="G14" s="16"/>
      <c r="H14" s="16" t="s">
        <v>612</v>
      </c>
    </row>
    <row r="15" customFormat="false" ht="30" hidden="false" customHeight="true" outlineLevel="0" collapsed="false">
      <c r="A15" s="7" t="s">
        <v>613</v>
      </c>
      <c r="B15" s="16" t="s">
        <v>614</v>
      </c>
      <c r="C15" s="7" t="s">
        <v>23</v>
      </c>
      <c r="D15" s="7" t="n">
        <v>2</v>
      </c>
      <c r="E15" s="16" t="s">
        <v>615</v>
      </c>
      <c r="F15" s="16" t="s">
        <v>135</v>
      </c>
      <c r="G15" s="16"/>
      <c r="H15" s="16" t="s">
        <v>616</v>
      </c>
    </row>
    <row r="16" customFormat="false" ht="16.5" hidden="false" customHeight="true" outlineLevel="0" collapsed="false">
      <c r="A16" s="7" t="s">
        <v>617</v>
      </c>
      <c r="B16" s="16" t="s">
        <v>618</v>
      </c>
      <c r="C16" s="7" t="s">
        <v>23</v>
      </c>
      <c r="D16" s="7" t="n">
        <v>2</v>
      </c>
      <c r="E16" s="16" t="s">
        <v>619</v>
      </c>
      <c r="F16" s="16" t="s">
        <v>135</v>
      </c>
      <c r="G16" s="16"/>
      <c r="H16" s="16" t="s">
        <v>620</v>
      </c>
    </row>
    <row r="17" customFormat="false" ht="16.5" hidden="false" customHeight="true" outlineLevel="0" collapsed="false">
      <c r="A17" s="7" t="s">
        <v>621</v>
      </c>
      <c r="B17" s="16" t="s">
        <v>622</v>
      </c>
      <c r="C17" s="7" t="s">
        <v>23</v>
      </c>
      <c r="D17" s="7" t="n">
        <v>2</v>
      </c>
      <c r="E17" s="16" t="s">
        <v>623</v>
      </c>
      <c r="F17" s="16" t="s">
        <v>135</v>
      </c>
      <c r="G17" s="16"/>
      <c r="H17" s="16" t="s">
        <v>322</v>
      </c>
    </row>
    <row r="18" customFormat="false" ht="16.5" hidden="false" customHeight="true" outlineLevel="0" collapsed="false">
      <c r="A18" s="7" t="s">
        <v>624</v>
      </c>
      <c r="B18" s="16" t="s">
        <v>625</v>
      </c>
      <c r="C18" s="7" t="s">
        <v>23</v>
      </c>
      <c r="D18" s="7" t="n">
        <v>2</v>
      </c>
      <c r="E18" s="16" t="s">
        <v>626</v>
      </c>
      <c r="F18" s="16" t="s">
        <v>177</v>
      </c>
      <c r="G18" s="16"/>
      <c r="H18" s="16" t="s">
        <v>627</v>
      </c>
    </row>
    <row r="19" customFormat="false" ht="30" hidden="false" customHeight="true" outlineLevel="0" collapsed="false">
      <c r="A19" s="7" t="s">
        <v>628</v>
      </c>
      <c r="B19" s="16" t="s">
        <v>629</v>
      </c>
      <c r="C19" s="7" t="s">
        <v>24</v>
      </c>
      <c r="D19" s="7" t="n">
        <v>2</v>
      </c>
      <c r="E19" s="16" t="s">
        <v>630</v>
      </c>
      <c r="F19" s="16" t="s">
        <v>125</v>
      </c>
      <c r="G19" s="16"/>
      <c r="H19" s="16" t="s">
        <v>631</v>
      </c>
    </row>
    <row r="20" customFormat="false" ht="16.5" hidden="false" customHeight="true" outlineLevel="0" collapsed="false">
      <c r="A20" s="7" t="s">
        <v>632</v>
      </c>
      <c r="B20" s="16" t="s">
        <v>633</v>
      </c>
      <c r="C20" s="7" t="s">
        <v>24</v>
      </c>
      <c r="D20" s="7" t="n">
        <v>2</v>
      </c>
      <c r="E20" s="16" t="s">
        <v>634</v>
      </c>
      <c r="F20" s="16" t="s">
        <v>125</v>
      </c>
      <c r="G20" s="16"/>
      <c r="H20" s="16" t="s">
        <v>635</v>
      </c>
    </row>
    <row r="21" customFormat="false" ht="30" hidden="false" customHeight="true" outlineLevel="0" collapsed="false">
      <c r="A21" s="7" t="s">
        <v>636</v>
      </c>
      <c r="B21" s="16" t="s">
        <v>637</v>
      </c>
      <c r="C21" s="7" t="s">
        <v>24</v>
      </c>
      <c r="D21" s="7" t="n">
        <v>2</v>
      </c>
      <c r="E21" s="16" t="s">
        <v>638</v>
      </c>
      <c r="F21" s="16" t="s">
        <v>125</v>
      </c>
      <c r="G21" s="16"/>
      <c r="H21" s="16" t="s">
        <v>639</v>
      </c>
    </row>
    <row r="22" customFormat="false" ht="30" hidden="false" customHeight="true" outlineLevel="0" collapsed="false">
      <c r="A22" s="7" t="s">
        <v>640</v>
      </c>
      <c r="B22" s="16" t="s">
        <v>641</v>
      </c>
      <c r="C22" s="7" t="s">
        <v>25</v>
      </c>
      <c r="D22" s="7" t="n">
        <v>2</v>
      </c>
      <c r="E22" s="16" t="s">
        <v>642</v>
      </c>
      <c r="F22" s="16" t="s">
        <v>125</v>
      </c>
      <c r="G22" s="16"/>
      <c r="H22" s="16" t="s">
        <v>643</v>
      </c>
    </row>
    <row r="23" customFormat="false" ht="16.5" hidden="false" customHeight="true" outlineLevel="0" collapsed="false">
      <c r="A23" s="7" t="s">
        <v>644</v>
      </c>
      <c r="B23" s="16" t="s">
        <v>645</v>
      </c>
      <c r="C23" s="7" t="s">
        <v>23</v>
      </c>
      <c r="D23" s="7" t="n">
        <v>4</v>
      </c>
      <c r="E23" s="16" t="s">
        <v>646</v>
      </c>
      <c r="F23" s="16" t="s">
        <v>271</v>
      </c>
      <c r="G23" s="16"/>
      <c r="H23" s="16" t="s">
        <v>647</v>
      </c>
    </row>
    <row r="24" customFormat="false" ht="30" hidden="false" customHeight="true" outlineLevel="0" collapsed="false">
      <c r="A24" s="7" t="s">
        <v>648</v>
      </c>
      <c r="B24" s="16" t="s">
        <v>649</v>
      </c>
      <c r="C24" s="7" t="s">
        <v>23</v>
      </c>
      <c r="D24" s="7" t="n">
        <v>4</v>
      </c>
      <c r="E24" s="16" t="s">
        <v>650</v>
      </c>
      <c r="F24" s="16" t="s">
        <v>271</v>
      </c>
      <c r="G24" s="16"/>
      <c r="H24" s="16" t="s">
        <v>651</v>
      </c>
    </row>
    <row r="25" customFormat="false" ht="16.5" hidden="false" customHeight="true" outlineLevel="0" collapsed="false">
      <c r="A25" s="7" t="s">
        <v>652</v>
      </c>
      <c r="B25" s="16" t="s">
        <v>653</v>
      </c>
      <c r="C25" s="7" t="s">
        <v>23</v>
      </c>
      <c r="D25" s="7" t="n">
        <v>4</v>
      </c>
      <c r="E25" s="16" t="s">
        <v>654</v>
      </c>
      <c r="F25" s="16" t="s">
        <v>271</v>
      </c>
      <c r="G25" s="16"/>
      <c r="H25" s="16" t="s">
        <v>655</v>
      </c>
    </row>
    <row r="26" customFormat="false" ht="16.5" hidden="false" customHeight="true" outlineLevel="0" collapsed="false">
      <c r="A26" s="7" t="s">
        <v>656</v>
      </c>
      <c r="B26" s="16" t="s">
        <v>657</v>
      </c>
      <c r="C26" s="7" t="s">
        <v>23</v>
      </c>
      <c r="D26" s="7" t="n">
        <v>4</v>
      </c>
      <c r="E26" s="16" t="s">
        <v>658</v>
      </c>
      <c r="F26" s="16" t="s">
        <v>271</v>
      </c>
      <c r="G26" s="16" t="s">
        <v>659</v>
      </c>
      <c r="H26" s="16" t="s">
        <v>660</v>
      </c>
    </row>
    <row r="27" customFormat="false" ht="16.5" hidden="false" customHeight="true" outlineLevel="0" collapsed="false">
      <c r="A27" s="7" t="s">
        <v>661</v>
      </c>
      <c r="B27" s="16" t="s">
        <v>662</v>
      </c>
      <c r="C27" s="7" t="s">
        <v>23</v>
      </c>
      <c r="D27" s="7" t="n">
        <v>4</v>
      </c>
      <c r="E27" s="16" t="s">
        <v>663</v>
      </c>
      <c r="F27" s="16" t="s">
        <v>271</v>
      </c>
      <c r="G27" s="16" t="s">
        <v>659</v>
      </c>
      <c r="H27" s="16" t="s">
        <v>664</v>
      </c>
    </row>
    <row r="28" customFormat="false" ht="16.5" hidden="false" customHeight="true" outlineLevel="0" collapsed="false">
      <c r="A28" s="7" t="s">
        <v>665</v>
      </c>
      <c r="B28" s="16" t="s">
        <v>666</v>
      </c>
      <c r="C28" s="7" t="s">
        <v>23</v>
      </c>
      <c r="D28" s="7" t="n">
        <v>4</v>
      </c>
      <c r="E28" s="16" t="s">
        <v>667</v>
      </c>
      <c r="F28" s="16" t="s">
        <v>271</v>
      </c>
      <c r="G28" s="16" t="s">
        <v>659</v>
      </c>
      <c r="H28" s="16" t="s">
        <v>668</v>
      </c>
    </row>
    <row r="29" customFormat="false" ht="16.5" hidden="false" customHeight="true" outlineLevel="0" collapsed="false">
      <c r="A29" s="7" t="s">
        <v>669</v>
      </c>
      <c r="B29" s="16" t="s">
        <v>670</v>
      </c>
      <c r="C29" s="7" t="s">
        <v>24</v>
      </c>
      <c r="D29" s="7" t="n">
        <v>4</v>
      </c>
      <c r="E29" s="16" t="s">
        <v>671</v>
      </c>
      <c r="F29" s="16" t="s">
        <v>271</v>
      </c>
      <c r="G29" s="16"/>
      <c r="H29" s="16" t="s">
        <v>672</v>
      </c>
    </row>
    <row r="30" customFormat="false" ht="16.5" hidden="false" customHeight="true" outlineLevel="0" collapsed="false">
      <c r="A30" s="7" t="s">
        <v>673</v>
      </c>
      <c r="B30" s="16" t="s">
        <v>674</v>
      </c>
      <c r="C30" s="7" t="s">
        <v>24</v>
      </c>
      <c r="D30" s="7" t="n">
        <v>4</v>
      </c>
      <c r="E30" s="16" t="s">
        <v>675</v>
      </c>
      <c r="F30" s="16" t="s">
        <v>271</v>
      </c>
      <c r="G30" s="16"/>
      <c r="H30" s="16" t="s">
        <v>676</v>
      </c>
    </row>
    <row r="31" customFormat="false" ht="16.5" hidden="false" customHeight="true" outlineLevel="0" collapsed="false">
      <c r="A31" s="7" t="s">
        <v>677</v>
      </c>
      <c r="B31" s="16" t="s">
        <v>678</v>
      </c>
      <c r="C31" s="7" t="s">
        <v>24</v>
      </c>
      <c r="D31" s="7" t="n">
        <v>4</v>
      </c>
      <c r="E31" s="16" t="s">
        <v>679</v>
      </c>
      <c r="F31" s="16" t="s">
        <v>271</v>
      </c>
      <c r="G31" s="16"/>
      <c r="H31" s="16" t="s">
        <v>680</v>
      </c>
    </row>
    <row r="32" customFormat="false" ht="30" hidden="false" customHeight="true" outlineLevel="0" collapsed="false">
      <c r="A32" s="7" t="s">
        <v>681</v>
      </c>
      <c r="B32" s="16" t="s">
        <v>682</v>
      </c>
      <c r="C32" s="7" t="s">
        <v>24</v>
      </c>
      <c r="D32" s="7" t="n">
        <v>4</v>
      </c>
      <c r="E32" s="16" t="s">
        <v>683</v>
      </c>
      <c r="F32" s="16" t="s">
        <v>271</v>
      </c>
      <c r="G32" s="16"/>
      <c r="H32" s="16" t="s">
        <v>684</v>
      </c>
    </row>
    <row r="33" customFormat="false" ht="16.5" hidden="false" customHeight="true" outlineLevel="0" collapsed="false">
      <c r="A33" s="7" t="s">
        <v>685</v>
      </c>
      <c r="B33" s="16" t="s">
        <v>686</v>
      </c>
      <c r="C33" s="7" t="s">
        <v>24</v>
      </c>
      <c r="D33" s="7" t="n">
        <v>4</v>
      </c>
      <c r="E33" s="16" t="s">
        <v>687</v>
      </c>
      <c r="F33" s="16" t="s">
        <v>271</v>
      </c>
      <c r="G33" s="16"/>
      <c r="H33" s="16" t="s">
        <v>688</v>
      </c>
    </row>
    <row r="34" customFormat="false" ht="16.5" hidden="false" customHeight="true" outlineLevel="0" collapsed="false">
      <c r="A34" s="7" t="s">
        <v>689</v>
      </c>
      <c r="B34" s="16" t="s">
        <v>690</v>
      </c>
      <c r="C34" s="7" t="s">
        <v>24</v>
      </c>
      <c r="D34" s="7" t="n">
        <v>4</v>
      </c>
      <c r="E34" s="16" t="s">
        <v>691</v>
      </c>
      <c r="F34" s="16" t="s">
        <v>271</v>
      </c>
      <c r="G34" s="16"/>
      <c r="H34" s="16" t="s">
        <v>692</v>
      </c>
    </row>
    <row r="35" customFormat="false" ht="30" hidden="false" customHeight="true" outlineLevel="0" collapsed="false">
      <c r="A35" s="7" t="s">
        <v>693</v>
      </c>
      <c r="B35" s="16" t="s">
        <v>694</v>
      </c>
      <c r="C35" s="7" t="s">
        <v>24</v>
      </c>
      <c r="D35" s="7" t="n">
        <v>4</v>
      </c>
      <c r="E35" s="16" t="s">
        <v>695</v>
      </c>
      <c r="F35" s="16" t="s">
        <v>338</v>
      </c>
      <c r="G35" s="16"/>
      <c r="H35" s="16" t="s">
        <v>696</v>
      </c>
    </row>
    <row r="36" customFormat="false" ht="16.5" hidden="false" customHeight="true" outlineLevel="0" collapsed="false">
      <c r="A36" s="7" t="s">
        <v>697</v>
      </c>
      <c r="B36" s="16" t="s">
        <v>698</v>
      </c>
      <c r="C36" s="7" t="s">
        <v>24</v>
      </c>
      <c r="D36" s="7" t="n">
        <v>4</v>
      </c>
      <c r="E36" s="16" t="s">
        <v>699</v>
      </c>
      <c r="F36" s="16" t="s">
        <v>338</v>
      </c>
      <c r="G36" s="16"/>
      <c r="H36" s="16" t="s">
        <v>700</v>
      </c>
    </row>
    <row r="37" customFormat="false" ht="16.5" hidden="false" customHeight="true" outlineLevel="0" collapsed="false">
      <c r="A37" s="7" t="s">
        <v>701</v>
      </c>
      <c r="B37" s="16" t="s">
        <v>702</v>
      </c>
      <c r="C37" s="7" t="s">
        <v>24</v>
      </c>
      <c r="D37" s="7" t="n">
        <v>4</v>
      </c>
      <c r="E37" s="16" t="s">
        <v>703</v>
      </c>
      <c r="F37" s="16" t="s">
        <v>276</v>
      </c>
      <c r="G37" s="16"/>
      <c r="H37" s="16" t="s">
        <v>704</v>
      </c>
    </row>
    <row r="38" customFormat="false" ht="30" hidden="false" customHeight="true" outlineLevel="0" collapsed="false">
      <c r="A38" s="7" t="s">
        <v>705</v>
      </c>
      <c r="B38" s="16" t="s">
        <v>706</v>
      </c>
      <c r="C38" s="7" t="s">
        <v>24</v>
      </c>
      <c r="D38" s="7" t="n">
        <v>4</v>
      </c>
      <c r="E38" s="16" t="s">
        <v>707</v>
      </c>
      <c r="F38" s="16" t="s">
        <v>338</v>
      </c>
      <c r="G38" s="16"/>
      <c r="H38" s="16" t="s">
        <v>708</v>
      </c>
    </row>
    <row r="39" customFormat="false" ht="16.5" hidden="false" customHeight="true" outlineLevel="0" collapsed="false">
      <c r="A39" s="7" t="s">
        <v>709</v>
      </c>
      <c r="B39" s="16" t="s">
        <v>710</v>
      </c>
      <c r="C39" s="7" t="s">
        <v>24</v>
      </c>
      <c r="D39" s="7" t="n">
        <v>4</v>
      </c>
      <c r="E39" s="16" t="s">
        <v>711</v>
      </c>
      <c r="F39" s="16" t="s">
        <v>338</v>
      </c>
      <c r="G39" s="16"/>
      <c r="H39" s="16" t="s">
        <v>627</v>
      </c>
    </row>
    <row r="40" customFormat="false" ht="16.5" hidden="false" customHeight="true" outlineLevel="0" collapsed="false">
      <c r="A40" s="7" t="s">
        <v>712</v>
      </c>
      <c r="B40" s="16" t="s">
        <v>713</v>
      </c>
      <c r="C40" s="7" t="s">
        <v>24</v>
      </c>
      <c r="D40" s="7" t="n">
        <v>4</v>
      </c>
      <c r="E40" s="16" t="s">
        <v>714</v>
      </c>
      <c r="F40" s="16" t="s">
        <v>338</v>
      </c>
      <c r="G40" s="16"/>
      <c r="H40" s="16" t="s">
        <v>715</v>
      </c>
    </row>
    <row r="41" customFormat="false" ht="30" hidden="false" customHeight="true" outlineLevel="0" collapsed="false">
      <c r="A41" s="7" t="s">
        <v>716</v>
      </c>
      <c r="B41" s="16" t="s">
        <v>717</v>
      </c>
      <c r="C41" s="7" t="s">
        <v>25</v>
      </c>
      <c r="D41" s="7" t="n">
        <v>4</v>
      </c>
      <c r="E41" s="16" t="s">
        <v>718</v>
      </c>
      <c r="F41" s="16" t="s">
        <v>263</v>
      </c>
      <c r="G41" s="16"/>
      <c r="H41" s="16" t="s">
        <v>719</v>
      </c>
    </row>
    <row r="42" customFormat="false" ht="30" hidden="false" customHeight="true" outlineLevel="0" collapsed="false">
      <c r="A42" s="7" t="s">
        <v>720</v>
      </c>
      <c r="B42" s="16" t="s">
        <v>721</v>
      </c>
      <c r="C42" s="7" t="s">
        <v>25</v>
      </c>
      <c r="D42" s="7" t="n">
        <v>4</v>
      </c>
      <c r="E42" s="16" t="s">
        <v>722</v>
      </c>
      <c r="F42" s="16" t="s">
        <v>263</v>
      </c>
      <c r="G42" s="16"/>
      <c r="H42" s="16" t="s">
        <v>723</v>
      </c>
    </row>
    <row r="43" customFormat="false" ht="30" hidden="false" customHeight="true" outlineLevel="0" collapsed="false">
      <c r="A43" s="7" t="s">
        <v>724</v>
      </c>
      <c r="B43" s="16" t="s">
        <v>725</v>
      </c>
      <c r="C43" s="7" t="s">
        <v>25</v>
      </c>
      <c r="D43" s="7" t="n">
        <v>4</v>
      </c>
      <c r="E43" s="16" t="s">
        <v>726</v>
      </c>
      <c r="F43" s="16" t="s">
        <v>263</v>
      </c>
      <c r="G43" s="16"/>
      <c r="H43" s="16" t="s">
        <v>727</v>
      </c>
    </row>
    <row r="44" customFormat="false" ht="30" hidden="false" customHeight="true" outlineLevel="0" collapsed="false">
      <c r="A44" s="7" t="s">
        <v>728</v>
      </c>
      <c r="B44" s="16" t="s">
        <v>729</v>
      </c>
      <c r="C44" s="7" t="s">
        <v>25</v>
      </c>
      <c r="D44" s="7" t="n">
        <v>4</v>
      </c>
      <c r="E44" s="16" t="s">
        <v>730</v>
      </c>
      <c r="F44" s="16" t="s">
        <v>263</v>
      </c>
      <c r="G44" s="16"/>
      <c r="H44" s="16" t="s">
        <v>731</v>
      </c>
    </row>
    <row r="45" customFormat="false" ht="30" hidden="false" customHeight="true" outlineLevel="0" collapsed="false">
      <c r="A45" s="7" t="s">
        <v>732</v>
      </c>
      <c r="B45" s="16" t="s">
        <v>733</v>
      </c>
      <c r="C45" s="7" t="s">
        <v>25</v>
      </c>
      <c r="D45" s="7" t="n">
        <v>4</v>
      </c>
      <c r="E45" s="16" t="s">
        <v>734</v>
      </c>
      <c r="F45" s="16" t="s">
        <v>276</v>
      </c>
      <c r="G45" s="16"/>
      <c r="H45" s="16" t="s">
        <v>735</v>
      </c>
    </row>
    <row r="46" customFormat="false" ht="30" hidden="false" customHeight="true" outlineLevel="0" collapsed="false">
      <c r="A46" s="7" t="s">
        <v>736</v>
      </c>
      <c r="B46" s="16" t="s">
        <v>737</v>
      </c>
      <c r="C46" s="7" t="s">
        <v>25</v>
      </c>
      <c r="D46" s="7" t="n">
        <v>4</v>
      </c>
      <c r="E46" s="16" t="s">
        <v>738</v>
      </c>
      <c r="F46" s="16" t="s">
        <v>232</v>
      </c>
      <c r="G46" s="16"/>
      <c r="H46" s="16" t="s">
        <v>739</v>
      </c>
    </row>
    <row r="47" customFormat="false" ht="16.5" hidden="false" customHeight="true" outlineLevel="0" collapsed="false">
      <c r="A47" s="7" t="s">
        <v>740</v>
      </c>
      <c r="B47" s="16" t="s">
        <v>741</v>
      </c>
      <c r="C47" s="7" t="s">
        <v>26</v>
      </c>
      <c r="D47" s="7" t="n">
        <v>4</v>
      </c>
      <c r="E47" s="16" t="s">
        <v>742</v>
      </c>
      <c r="F47" s="16" t="s">
        <v>425</v>
      </c>
      <c r="G47" s="16" t="s">
        <v>426</v>
      </c>
      <c r="H47" s="16" t="s">
        <v>427</v>
      </c>
    </row>
    <row r="48" customFormat="false" ht="30" hidden="false" customHeight="true" outlineLevel="0" collapsed="false">
      <c r="A48" s="7" t="s">
        <v>743</v>
      </c>
      <c r="B48" s="16" t="s">
        <v>744</v>
      </c>
      <c r="C48" s="7" t="s">
        <v>26</v>
      </c>
      <c r="D48" s="7" t="n">
        <v>4</v>
      </c>
      <c r="E48" s="16" t="s">
        <v>745</v>
      </c>
      <c r="F48" s="16" t="s">
        <v>436</v>
      </c>
      <c r="G48" s="16" t="s">
        <v>437</v>
      </c>
      <c r="H48" s="16" t="s">
        <v>746</v>
      </c>
    </row>
    <row r="49" customFormat="false" ht="30" hidden="false" customHeight="true" outlineLevel="0" collapsed="false">
      <c r="A49" s="7" t="s">
        <v>747</v>
      </c>
      <c r="B49" s="16" t="s">
        <v>748</v>
      </c>
      <c r="C49" s="7" t="s">
        <v>26</v>
      </c>
      <c r="D49" s="7" t="n">
        <v>6</v>
      </c>
      <c r="E49" s="16" t="s">
        <v>749</v>
      </c>
      <c r="F49" s="16" t="s">
        <v>490</v>
      </c>
      <c r="G49" s="16"/>
      <c r="H49" s="16" t="s">
        <v>750</v>
      </c>
    </row>
    <row r="50" customFormat="false" ht="16.5" hidden="false" customHeight="true" outlineLevel="0" collapsed="false">
      <c r="A50" s="7" t="s">
        <v>751</v>
      </c>
      <c r="B50" s="16" t="s">
        <v>752</v>
      </c>
      <c r="C50" s="7" t="s">
        <v>26</v>
      </c>
      <c r="D50" s="7" t="n">
        <v>6</v>
      </c>
      <c r="E50" s="16" t="s">
        <v>753</v>
      </c>
      <c r="F50" s="16" t="s">
        <v>754</v>
      </c>
      <c r="G50" s="16" t="s">
        <v>755</v>
      </c>
      <c r="H50" s="16" t="s">
        <v>756</v>
      </c>
    </row>
    <row r="51" customFormat="false" ht="16.5" hidden="false" customHeight="true" outlineLevel="0" collapsed="false">
      <c r="A51" s="7" t="s">
        <v>757</v>
      </c>
      <c r="B51" s="16" t="s">
        <v>758</v>
      </c>
      <c r="C51" s="7" t="s">
        <v>26</v>
      </c>
      <c r="D51" s="7" t="n">
        <v>6</v>
      </c>
      <c r="E51" s="16" t="s">
        <v>759</v>
      </c>
      <c r="F51" s="16" t="s">
        <v>760</v>
      </c>
      <c r="G51" s="16" t="s">
        <v>755</v>
      </c>
      <c r="H51" s="16" t="s">
        <v>761</v>
      </c>
    </row>
    <row r="52" customFormat="false" ht="30" hidden="false" customHeight="true" outlineLevel="0" collapsed="false">
      <c r="A52" s="7" t="s">
        <v>762</v>
      </c>
      <c r="B52" s="16" t="s">
        <v>763</v>
      </c>
      <c r="C52" s="7" t="s">
        <v>26</v>
      </c>
      <c r="D52" s="7" t="n">
        <v>6</v>
      </c>
      <c r="E52" s="16" t="s">
        <v>764</v>
      </c>
      <c r="F52" s="16" t="s">
        <v>760</v>
      </c>
      <c r="G52" s="16" t="s">
        <v>755</v>
      </c>
      <c r="H52" s="16" t="s">
        <v>765</v>
      </c>
    </row>
    <row r="53" customFormat="false" ht="16.5" hidden="false" customHeight="true" outlineLevel="0" collapsed="false">
      <c r="A53" s="7" t="s">
        <v>766</v>
      </c>
      <c r="B53" s="16" t="s">
        <v>767</v>
      </c>
      <c r="C53" s="7" t="s">
        <v>26</v>
      </c>
      <c r="D53" s="7" t="n">
        <v>6</v>
      </c>
      <c r="E53" s="16" t="s">
        <v>768</v>
      </c>
      <c r="F53" s="16" t="s">
        <v>760</v>
      </c>
      <c r="G53" s="16" t="s">
        <v>755</v>
      </c>
      <c r="H53" s="16" t="s">
        <v>769</v>
      </c>
    </row>
    <row r="54" customFormat="false" ht="30" hidden="false" customHeight="true" outlineLevel="0" collapsed="false">
      <c r="A54" s="7" t="s">
        <v>770</v>
      </c>
      <c r="B54" s="16" t="s">
        <v>771</v>
      </c>
      <c r="C54" s="7" t="s">
        <v>26</v>
      </c>
      <c r="D54" s="7" t="n">
        <v>6</v>
      </c>
      <c r="E54" s="16" t="s">
        <v>772</v>
      </c>
      <c r="F54" s="16" t="s">
        <v>760</v>
      </c>
      <c r="G54" s="16" t="s">
        <v>755</v>
      </c>
      <c r="H54" s="16" t="s">
        <v>773</v>
      </c>
    </row>
  </sheetData>
  <autoFilter ref="A1:H54"/>
  <conditionalFormatting sqref="C2:C300">
    <cfRule type="cellIs" priority="2" operator="equal" aboveAverage="0" equalAverage="0" bottom="0" percent="0" rank="0" text="" dxfId="10">
      <formula>"Common"</formula>
    </cfRule>
    <cfRule type="cellIs" priority="3" operator="equal" aboveAverage="0" equalAverage="0" bottom="0" percent="0" rank="0" text="" dxfId="11">
      <formula>"Uncommon"</formula>
    </cfRule>
    <cfRule type="cellIs" priority="4" operator="equal" aboveAverage="0" equalAverage="0" bottom="0" percent="0" rank="0" text="" dxfId="12">
      <formula>"Rare"</formula>
    </cfRule>
    <cfRule type="cellIs" priority="5" operator="equal" aboveAverage="0" equalAverage="0" bottom="0" percent="0" rank="0" text="" dxfId="13">
      <formula>"Epic"</formula>
    </cfRule>
    <cfRule type="cellIs" priority="6" operator="equal" aboveAverage="0" equalAverage="0" bottom="0" percent="0" rank="0" text="" dxfId="14">
      <formula>"Legendary"</formula>
    </cfRule>
    <cfRule type="cellIs" priority="7" operator="equal" aboveAverage="0" equalAverage="0" bottom="0" percent="0" rank="0" text="" dxfId="15">
      <formula>"Mythic"</formula>
    </cfRule>
  </conditionalFormatting>
  <dataValidations count="2">
    <dataValidation allowBlank="true" errorStyle="stop" operator="between" showDropDown="false" showErrorMessage="false" showInputMessage="false" sqref="D2:D300" type="whole">
      <formula1>1</formula1>
      <formula2>6</formula2>
    </dataValidation>
    <dataValidation allowBlank="true" errorStyle="stop" operator="between" showDropDown="false" showErrorMessage="false" showInputMessage="false" sqref="C2:C300" type="list">
      <formula1>Tuning!$A$24:$A$29</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11"/>
    <col collapsed="false" customWidth="true" hidden="false" outlineLevel="0" max="4" min="4" style="0" width="7"/>
    <col collapsed="false" customWidth="true" hidden="false" outlineLevel="0" max="5" min="5" style="0" width="66"/>
    <col collapsed="false" customWidth="true" hidden="false" outlineLevel="0" max="6" min="6" style="0" width="22"/>
    <col collapsed="false" customWidth="true" hidden="false" outlineLevel="0" max="7" min="7" style="0" width="12"/>
    <col collapsed="false" customWidth="true" hidden="false" outlineLevel="0" max="8" min="8" style="0" width="11"/>
  </cols>
  <sheetData>
    <row r="1" customFormat="false" ht="27.75" hidden="false" customHeight="true" outlineLevel="0" collapsed="false">
      <c r="A1" s="6" t="s">
        <v>27</v>
      </c>
      <c r="B1" s="6" t="s">
        <v>28</v>
      </c>
      <c r="C1" s="6" t="s">
        <v>32</v>
      </c>
      <c r="D1" s="6" t="s">
        <v>13</v>
      </c>
      <c r="E1" s="6" t="s">
        <v>494</v>
      </c>
      <c r="F1" s="6" t="s">
        <v>34</v>
      </c>
      <c r="G1" s="6" t="s">
        <v>774</v>
      </c>
      <c r="H1" s="6" t="s">
        <v>42</v>
      </c>
    </row>
    <row r="2" customFormat="false" ht="16.5" hidden="false" customHeight="true" outlineLevel="0" collapsed="false">
      <c r="A2" s="7" t="s">
        <v>775</v>
      </c>
      <c r="B2" s="16" t="s">
        <v>776</v>
      </c>
      <c r="C2" s="7" t="s">
        <v>21</v>
      </c>
      <c r="D2" s="7" t="n">
        <v>1</v>
      </c>
      <c r="E2" s="16" t="s">
        <v>777</v>
      </c>
      <c r="F2" s="16" t="s">
        <v>187</v>
      </c>
      <c r="G2" s="21" t="n">
        <f aca="false">IF(ISNUMBER(SEARCH("Store",F2)),INDEX(Tuning!$F$24:$F$29,MATCH($C2,Tuning!$A$24:$A$29,0)),"")</f>
        <v>25</v>
      </c>
      <c r="H2" s="16" t="s">
        <v>49</v>
      </c>
    </row>
    <row r="3" customFormat="false" ht="16.5" hidden="false" customHeight="true" outlineLevel="0" collapsed="false">
      <c r="A3" s="7" t="s">
        <v>778</v>
      </c>
      <c r="B3" s="16" t="s">
        <v>779</v>
      </c>
      <c r="C3" s="7" t="s">
        <v>21</v>
      </c>
      <c r="D3" s="7" t="n">
        <v>1</v>
      </c>
      <c r="E3" s="16" t="s">
        <v>780</v>
      </c>
      <c r="F3" s="16" t="s">
        <v>187</v>
      </c>
      <c r="G3" s="21" t="n">
        <f aca="false">IF(ISNUMBER(SEARCH("Store",F3)),INDEX(Tuning!$F$24:$F$29,MATCH($C3,Tuning!$A$24:$A$29,0)),"")</f>
        <v>25</v>
      </c>
      <c r="H3" s="16" t="s">
        <v>49</v>
      </c>
    </row>
    <row r="4" customFormat="false" ht="16.5" hidden="false" customHeight="true" outlineLevel="0" collapsed="false">
      <c r="A4" s="7" t="s">
        <v>781</v>
      </c>
      <c r="B4" s="16" t="s">
        <v>782</v>
      </c>
      <c r="C4" s="7" t="s">
        <v>22</v>
      </c>
      <c r="D4" s="7" t="n">
        <v>1</v>
      </c>
      <c r="E4" s="16" t="s">
        <v>783</v>
      </c>
      <c r="F4" s="16" t="s">
        <v>187</v>
      </c>
      <c r="G4" s="21" t="n">
        <f aca="false">IF(ISNUMBER(SEARCH("Store",F4)),INDEX(Tuning!$F$24:$F$29,MATCH($C4,Tuning!$A$24:$A$29,0)),"")</f>
        <v>60</v>
      </c>
      <c r="H4" s="16" t="s">
        <v>49</v>
      </c>
    </row>
    <row r="5" customFormat="false" ht="16.5" hidden="false" customHeight="true" outlineLevel="0" collapsed="false">
      <c r="A5" s="7" t="s">
        <v>784</v>
      </c>
      <c r="B5" s="16" t="s">
        <v>785</v>
      </c>
      <c r="C5" s="7" t="s">
        <v>22</v>
      </c>
      <c r="D5" s="7" t="n">
        <v>2</v>
      </c>
      <c r="E5" s="16" t="s">
        <v>786</v>
      </c>
      <c r="F5" s="16" t="s">
        <v>187</v>
      </c>
      <c r="G5" s="21" t="n">
        <f aca="false">IF(ISNUMBER(SEARCH("Store",F5)),INDEX(Tuning!$F$24:$F$29,MATCH($C5,Tuning!$A$24:$A$29,0)),"")</f>
        <v>60</v>
      </c>
      <c r="H5" s="16" t="s">
        <v>787</v>
      </c>
    </row>
    <row r="6" customFormat="false" ht="16.5" hidden="false" customHeight="true" outlineLevel="0" collapsed="false">
      <c r="A6" s="7" t="s">
        <v>788</v>
      </c>
      <c r="B6" s="16" t="s">
        <v>789</v>
      </c>
      <c r="C6" s="7" t="s">
        <v>22</v>
      </c>
      <c r="D6" s="7" t="n">
        <v>2</v>
      </c>
      <c r="E6" s="16" t="s">
        <v>790</v>
      </c>
      <c r="F6" s="16" t="s">
        <v>187</v>
      </c>
      <c r="G6" s="21" t="n">
        <f aca="false">IF(ISNUMBER(SEARCH("Store",F6)),INDEX(Tuning!$F$24:$F$29,MATCH($C6,Tuning!$A$24:$A$29,0)),"")</f>
        <v>60</v>
      </c>
      <c r="H6" s="16" t="s">
        <v>791</v>
      </c>
    </row>
    <row r="7" customFormat="false" ht="30" hidden="false" customHeight="true" outlineLevel="0" collapsed="false">
      <c r="A7" s="7" t="s">
        <v>792</v>
      </c>
      <c r="B7" s="16" t="s">
        <v>793</v>
      </c>
      <c r="C7" s="7" t="s">
        <v>22</v>
      </c>
      <c r="D7" s="7" t="n">
        <v>2</v>
      </c>
      <c r="E7" s="16" t="s">
        <v>794</v>
      </c>
      <c r="F7" s="16" t="s">
        <v>795</v>
      </c>
      <c r="G7" s="21" t="str">
        <f aca="false">IF(ISNUMBER(SEARCH("Store",F7)),INDEX(Tuning!$F$24:$F$29,MATCH($C7,Tuning!$A$24:$A$29,0)),"")</f>
        <v/>
      </c>
      <c r="H7" s="16" t="s">
        <v>796</v>
      </c>
    </row>
    <row r="8" customFormat="false" ht="30" hidden="false" customHeight="true" outlineLevel="0" collapsed="false">
      <c r="A8" s="7" t="s">
        <v>797</v>
      </c>
      <c r="B8" s="16" t="s">
        <v>798</v>
      </c>
      <c r="C8" s="7" t="s">
        <v>22</v>
      </c>
      <c r="D8" s="7" t="n">
        <v>2</v>
      </c>
      <c r="E8" s="16" t="s">
        <v>799</v>
      </c>
      <c r="F8" s="16" t="s">
        <v>187</v>
      </c>
      <c r="G8" s="21" t="n">
        <f aca="false">IF(ISNUMBER(SEARCH("Store",F8)),INDEX(Tuning!$F$24:$F$29,MATCH($C8,Tuning!$A$24:$A$29,0)),"")</f>
        <v>60</v>
      </c>
      <c r="H8" s="16" t="s">
        <v>800</v>
      </c>
    </row>
    <row r="9" customFormat="false" ht="16.5" hidden="false" customHeight="true" outlineLevel="0" collapsed="false">
      <c r="A9" s="7" t="s">
        <v>801</v>
      </c>
      <c r="B9" s="16" t="s">
        <v>802</v>
      </c>
      <c r="C9" s="7" t="s">
        <v>22</v>
      </c>
      <c r="D9" s="7" t="n">
        <v>2</v>
      </c>
      <c r="E9" s="16" t="s">
        <v>803</v>
      </c>
      <c r="F9" s="16" t="s">
        <v>187</v>
      </c>
      <c r="G9" s="21" t="n">
        <f aca="false">IF(ISNUMBER(SEARCH("Store",F9)),INDEX(Tuning!$F$24:$F$29,MATCH($C9,Tuning!$A$24:$A$29,0)),"")</f>
        <v>60</v>
      </c>
      <c r="H9" s="16" t="s">
        <v>804</v>
      </c>
    </row>
    <row r="10" customFormat="false" ht="16.5" hidden="false" customHeight="true" outlineLevel="0" collapsed="false">
      <c r="A10" s="7" t="s">
        <v>805</v>
      </c>
      <c r="B10" s="16" t="s">
        <v>806</v>
      </c>
      <c r="C10" s="7" t="s">
        <v>22</v>
      </c>
      <c r="D10" s="7" t="n">
        <v>2</v>
      </c>
      <c r="E10" s="16" t="s">
        <v>807</v>
      </c>
      <c r="F10" s="16" t="s">
        <v>187</v>
      </c>
      <c r="G10" s="21" t="n">
        <f aca="false">IF(ISNUMBER(SEARCH("Store",F10)),INDEX(Tuning!$F$24:$F$29,MATCH($C10,Tuning!$A$24:$A$29,0)),"")</f>
        <v>60</v>
      </c>
      <c r="H10" s="16" t="s">
        <v>808</v>
      </c>
    </row>
    <row r="11" customFormat="false" ht="16.5" hidden="false" customHeight="true" outlineLevel="0" collapsed="false">
      <c r="A11" s="7" t="s">
        <v>809</v>
      </c>
      <c r="B11" s="16" t="s">
        <v>810</v>
      </c>
      <c r="C11" s="7" t="s">
        <v>22</v>
      </c>
      <c r="D11" s="7" t="n">
        <v>2</v>
      </c>
      <c r="E11" s="16" t="s">
        <v>811</v>
      </c>
      <c r="F11" s="16" t="s">
        <v>187</v>
      </c>
      <c r="G11" s="21" t="n">
        <f aca="false">IF(ISNUMBER(SEARCH("Store",F11)),INDEX(Tuning!$F$24:$F$29,MATCH($C11,Tuning!$A$24:$A$29,0)),"")</f>
        <v>60</v>
      </c>
      <c r="H11" s="16" t="s">
        <v>812</v>
      </c>
    </row>
    <row r="12" customFormat="false" ht="16.5" hidden="false" customHeight="true" outlineLevel="0" collapsed="false">
      <c r="A12" s="7" t="s">
        <v>813</v>
      </c>
      <c r="B12" s="16" t="s">
        <v>814</v>
      </c>
      <c r="C12" s="7" t="s">
        <v>23</v>
      </c>
      <c r="D12" s="7" t="n">
        <v>2</v>
      </c>
      <c r="E12" s="16" t="s">
        <v>815</v>
      </c>
      <c r="F12" s="16" t="s">
        <v>187</v>
      </c>
      <c r="G12" s="21" t="n">
        <f aca="false">IF(ISNUMBER(SEARCH("Store",F12)),INDEX(Tuning!$F$24:$F$29,MATCH($C12,Tuning!$A$24:$A$29,0)),"")</f>
        <v>150</v>
      </c>
      <c r="H12" s="16" t="s">
        <v>816</v>
      </c>
    </row>
    <row r="13" customFormat="false" ht="16.5" hidden="false" customHeight="true" outlineLevel="0" collapsed="false">
      <c r="A13" s="7" t="s">
        <v>817</v>
      </c>
      <c r="B13" s="16" t="s">
        <v>818</v>
      </c>
      <c r="C13" s="7" t="s">
        <v>23</v>
      </c>
      <c r="D13" s="7" t="n">
        <v>2</v>
      </c>
      <c r="E13" s="16" t="s">
        <v>819</v>
      </c>
      <c r="F13" s="16" t="s">
        <v>187</v>
      </c>
      <c r="G13" s="21" t="n">
        <f aca="false">IF(ISNUMBER(SEARCH("Store",F13)),INDEX(Tuning!$F$24:$F$29,MATCH($C13,Tuning!$A$24:$A$29,0)),"")</f>
        <v>150</v>
      </c>
      <c r="H13" s="16" t="s">
        <v>820</v>
      </c>
    </row>
    <row r="14" customFormat="false" ht="16.5" hidden="false" customHeight="true" outlineLevel="0" collapsed="false">
      <c r="A14" s="7" t="s">
        <v>821</v>
      </c>
      <c r="B14" s="16" t="s">
        <v>822</v>
      </c>
      <c r="C14" s="7" t="s">
        <v>23</v>
      </c>
      <c r="D14" s="7" t="n">
        <v>2</v>
      </c>
      <c r="E14" s="16" t="s">
        <v>823</v>
      </c>
      <c r="F14" s="16" t="s">
        <v>187</v>
      </c>
      <c r="G14" s="21" t="n">
        <f aca="false">IF(ISNUMBER(SEARCH("Store",F14)),INDEX(Tuning!$F$24:$F$29,MATCH($C14,Tuning!$A$24:$A$29,0)),"")</f>
        <v>150</v>
      </c>
      <c r="H14" s="16" t="s">
        <v>451</v>
      </c>
    </row>
    <row r="15" customFormat="false" ht="30" hidden="false" customHeight="true" outlineLevel="0" collapsed="false">
      <c r="A15" s="7" t="s">
        <v>824</v>
      </c>
      <c r="B15" s="16" t="s">
        <v>825</v>
      </c>
      <c r="C15" s="7" t="s">
        <v>23</v>
      </c>
      <c r="D15" s="7" t="n">
        <v>2</v>
      </c>
      <c r="E15" s="16" t="s">
        <v>826</v>
      </c>
      <c r="F15" s="16" t="s">
        <v>135</v>
      </c>
      <c r="G15" s="21" t="str">
        <f aca="false">IF(ISNUMBER(SEARCH("Store",F15)),INDEX(Tuning!$F$24:$F$29,MATCH($C15,Tuning!$A$24:$A$29,0)),"")</f>
        <v/>
      </c>
      <c r="H15" s="16" t="s">
        <v>827</v>
      </c>
    </row>
    <row r="16" customFormat="false" ht="16.5" hidden="false" customHeight="true" outlineLevel="0" collapsed="false">
      <c r="A16" s="7" t="s">
        <v>828</v>
      </c>
      <c r="B16" s="16" t="s">
        <v>829</v>
      </c>
      <c r="C16" s="7" t="s">
        <v>23</v>
      </c>
      <c r="D16" s="7" t="n">
        <v>2</v>
      </c>
      <c r="E16" s="16" t="s">
        <v>830</v>
      </c>
      <c r="F16" s="16" t="s">
        <v>187</v>
      </c>
      <c r="G16" s="21" t="n">
        <f aca="false">IF(ISNUMBER(SEARCH("Store",F16)),INDEX(Tuning!$F$24:$F$29,MATCH($C16,Tuning!$A$24:$A$29,0)),"")</f>
        <v>150</v>
      </c>
      <c r="H16" s="16" t="s">
        <v>831</v>
      </c>
    </row>
    <row r="17" customFormat="false" ht="16.5" hidden="false" customHeight="true" outlineLevel="0" collapsed="false">
      <c r="A17" s="7" t="s">
        <v>832</v>
      </c>
      <c r="B17" s="16" t="s">
        <v>833</v>
      </c>
      <c r="C17" s="7" t="s">
        <v>23</v>
      </c>
      <c r="D17" s="7" t="n">
        <v>2</v>
      </c>
      <c r="E17" s="16" t="s">
        <v>834</v>
      </c>
      <c r="F17" s="16" t="s">
        <v>177</v>
      </c>
      <c r="G17" s="21" t="str">
        <f aca="false">IF(ISNUMBER(SEARCH("Store",F17)),INDEX(Tuning!$F$24:$F$29,MATCH($C17,Tuning!$A$24:$A$29,0)),"")</f>
        <v/>
      </c>
      <c r="H17" s="16" t="s">
        <v>835</v>
      </c>
    </row>
    <row r="18" customFormat="false" ht="30" hidden="false" customHeight="true" outlineLevel="0" collapsed="false">
      <c r="A18" s="7" t="s">
        <v>836</v>
      </c>
      <c r="B18" s="16" t="s">
        <v>837</v>
      </c>
      <c r="C18" s="7" t="s">
        <v>23</v>
      </c>
      <c r="D18" s="7" t="n">
        <v>2</v>
      </c>
      <c r="E18" s="16" t="s">
        <v>838</v>
      </c>
      <c r="F18" s="16" t="s">
        <v>135</v>
      </c>
      <c r="G18" s="21" t="str">
        <f aca="false">IF(ISNUMBER(SEARCH("Store",F18)),INDEX(Tuning!$F$24:$F$29,MATCH($C18,Tuning!$A$24:$A$29,0)),"")</f>
        <v/>
      </c>
      <c r="H18" s="16" t="s">
        <v>839</v>
      </c>
    </row>
    <row r="19" customFormat="false" ht="16.5" hidden="false" customHeight="true" outlineLevel="0" collapsed="false">
      <c r="A19" s="7" t="s">
        <v>840</v>
      </c>
      <c r="B19" s="16" t="s">
        <v>841</v>
      </c>
      <c r="C19" s="7" t="s">
        <v>23</v>
      </c>
      <c r="D19" s="7" t="n">
        <v>2</v>
      </c>
      <c r="E19" s="16" t="s">
        <v>842</v>
      </c>
      <c r="F19" s="16" t="s">
        <v>135</v>
      </c>
      <c r="G19" s="21" t="str">
        <f aca="false">IF(ISNUMBER(SEARCH("Store",F19)),INDEX(Tuning!$F$24:$F$29,MATCH($C19,Tuning!$A$24:$A$29,0)),"")</f>
        <v/>
      </c>
      <c r="H19" s="16" t="s">
        <v>843</v>
      </c>
    </row>
    <row r="20" customFormat="false" ht="30" hidden="false" customHeight="true" outlineLevel="0" collapsed="false">
      <c r="A20" s="7" t="s">
        <v>844</v>
      </c>
      <c r="B20" s="16" t="s">
        <v>845</v>
      </c>
      <c r="C20" s="7" t="s">
        <v>23</v>
      </c>
      <c r="D20" s="7" t="n">
        <v>4</v>
      </c>
      <c r="E20" s="16" t="s">
        <v>846</v>
      </c>
      <c r="F20" s="16" t="s">
        <v>187</v>
      </c>
      <c r="G20" s="21" t="n">
        <f aca="false">IF(ISNUMBER(SEARCH("Store",F20)),INDEX(Tuning!$F$24:$F$29,MATCH($C20,Tuning!$A$24:$A$29,0)),"")</f>
        <v>150</v>
      </c>
      <c r="H20" s="16" t="s">
        <v>847</v>
      </c>
    </row>
    <row r="21" customFormat="false" ht="30" hidden="false" customHeight="true" outlineLevel="0" collapsed="false">
      <c r="A21" s="7" t="s">
        <v>848</v>
      </c>
      <c r="B21" s="16" t="s">
        <v>849</v>
      </c>
      <c r="C21" s="7" t="s">
        <v>24</v>
      </c>
      <c r="D21" s="7" t="n">
        <v>4</v>
      </c>
      <c r="E21" s="16" t="s">
        <v>850</v>
      </c>
      <c r="F21" s="16" t="s">
        <v>263</v>
      </c>
      <c r="G21" s="21" t="str">
        <f aca="false">IF(ISNUMBER(SEARCH("Store",F21)),INDEX(Tuning!$F$24:$F$29,MATCH($C21,Tuning!$A$24:$A$29,0)),"")</f>
        <v/>
      </c>
      <c r="H21" s="16" t="s">
        <v>851</v>
      </c>
    </row>
    <row r="22" customFormat="false" ht="16.5" hidden="false" customHeight="true" outlineLevel="0" collapsed="false">
      <c r="A22" s="7" t="s">
        <v>852</v>
      </c>
      <c r="B22" s="16" t="s">
        <v>853</v>
      </c>
      <c r="C22" s="7" t="s">
        <v>24</v>
      </c>
      <c r="D22" s="7" t="n">
        <v>4</v>
      </c>
      <c r="E22" s="16" t="s">
        <v>854</v>
      </c>
      <c r="F22" s="16" t="s">
        <v>177</v>
      </c>
      <c r="G22" s="21" t="str">
        <f aca="false">IF(ISNUMBER(SEARCH("Store",F22)),INDEX(Tuning!$F$24:$F$29,MATCH($C22,Tuning!$A$24:$A$29,0)),"")</f>
        <v/>
      </c>
      <c r="H22" s="16" t="s">
        <v>68</v>
      </c>
    </row>
  </sheetData>
  <autoFilter ref="A1:H22"/>
  <conditionalFormatting sqref="C2:C300">
    <cfRule type="cellIs" priority="2" operator="equal" aboveAverage="0" equalAverage="0" bottom="0" percent="0" rank="0" text="" dxfId="10">
      <formula>"Common"</formula>
    </cfRule>
    <cfRule type="cellIs" priority="3" operator="equal" aboveAverage="0" equalAverage="0" bottom="0" percent="0" rank="0" text="" dxfId="11">
      <formula>"Uncommon"</formula>
    </cfRule>
    <cfRule type="cellIs" priority="4" operator="equal" aboveAverage="0" equalAverage="0" bottom="0" percent="0" rank="0" text="" dxfId="12">
      <formula>"Rare"</formula>
    </cfRule>
    <cfRule type="cellIs" priority="5" operator="equal" aboveAverage="0" equalAverage="0" bottom="0" percent="0" rank="0" text="" dxfId="13">
      <formula>"Epic"</formula>
    </cfRule>
    <cfRule type="cellIs" priority="6" operator="equal" aboveAverage="0" equalAverage="0" bottom="0" percent="0" rank="0" text="" dxfId="14">
      <formula>"Legendary"</formula>
    </cfRule>
    <cfRule type="cellIs" priority="7" operator="equal" aboveAverage="0" equalAverage="0" bottom="0" percent="0" rank="0" text="" dxfId="15">
      <formula>"Mythic"</formula>
    </cfRule>
  </conditionalFormatting>
  <dataValidations count="2">
    <dataValidation allowBlank="true" errorStyle="stop" operator="between" showDropDown="false" showErrorMessage="false" showInputMessage="false" sqref="D2:D300" type="whole">
      <formula1>1</formula1>
      <formula2>6</formula2>
    </dataValidation>
    <dataValidation allowBlank="true" errorStyle="stop" operator="between" showDropDown="false" showErrorMessage="false" showInputMessage="false" sqref="C2:C300" type="list">
      <formula1>Tuning!$A$24:$A$29</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18"/>
    <col collapsed="false" customWidth="true" hidden="false" outlineLevel="0" max="4" min="4" style="0" width="7"/>
    <col collapsed="false" customWidth="true" hidden="false" outlineLevel="0" max="5" min="5" style="0" width="80"/>
    <col collapsed="false" customWidth="true" hidden="false" outlineLevel="0" max="6" min="6" style="0" width="11"/>
  </cols>
  <sheetData>
    <row r="1" customFormat="false" ht="27.75" hidden="false" customHeight="true" outlineLevel="0" collapsed="false">
      <c r="A1" s="6" t="s">
        <v>27</v>
      </c>
      <c r="B1" s="6" t="s">
        <v>28</v>
      </c>
      <c r="C1" s="6" t="s">
        <v>855</v>
      </c>
      <c r="D1" s="6" t="s">
        <v>13</v>
      </c>
      <c r="E1" s="6" t="s">
        <v>856</v>
      </c>
      <c r="F1" s="6" t="s">
        <v>42</v>
      </c>
    </row>
    <row r="2" customFormat="false" ht="16.5" hidden="false" customHeight="true" outlineLevel="0" collapsed="false">
      <c r="A2" s="7" t="s">
        <v>857</v>
      </c>
      <c r="B2" s="16" t="s">
        <v>858</v>
      </c>
      <c r="C2" s="17" t="s">
        <v>859</v>
      </c>
      <c r="D2" s="7" t="n">
        <v>1</v>
      </c>
      <c r="E2" s="16" t="s">
        <v>860</v>
      </c>
      <c r="F2" s="16" t="s">
        <v>861</v>
      </c>
    </row>
    <row r="3" customFormat="false" ht="16.5" hidden="false" customHeight="true" outlineLevel="0" collapsed="false">
      <c r="A3" s="7" t="s">
        <v>862</v>
      </c>
      <c r="B3" s="16" t="s">
        <v>863</v>
      </c>
      <c r="C3" s="17" t="s">
        <v>864</v>
      </c>
      <c r="D3" s="7" t="n">
        <v>2</v>
      </c>
      <c r="E3" s="16" t="s">
        <v>865</v>
      </c>
      <c r="F3" s="16" t="s">
        <v>866</v>
      </c>
    </row>
    <row r="4" customFormat="false" ht="16.5" hidden="false" customHeight="true" outlineLevel="0" collapsed="false">
      <c r="A4" s="7" t="s">
        <v>867</v>
      </c>
      <c r="B4" s="16" t="s">
        <v>868</v>
      </c>
      <c r="C4" s="17" t="s">
        <v>869</v>
      </c>
      <c r="D4" s="7" t="n">
        <v>2</v>
      </c>
      <c r="E4" s="16" t="s">
        <v>870</v>
      </c>
      <c r="F4" s="16" t="s">
        <v>871</v>
      </c>
    </row>
    <row r="5" customFormat="false" ht="16.5" hidden="false" customHeight="true" outlineLevel="0" collapsed="false">
      <c r="A5" s="7" t="s">
        <v>872</v>
      </c>
      <c r="B5" s="16" t="s">
        <v>873</v>
      </c>
      <c r="C5" s="17" t="s">
        <v>874</v>
      </c>
      <c r="D5" s="7" t="n">
        <v>2</v>
      </c>
      <c r="E5" s="16" t="s">
        <v>875</v>
      </c>
      <c r="F5" s="16" t="s">
        <v>876</v>
      </c>
    </row>
    <row r="6" customFormat="false" ht="16.5" hidden="false" customHeight="true" outlineLevel="0" collapsed="false">
      <c r="A6" s="7" t="s">
        <v>877</v>
      </c>
      <c r="B6" s="16" t="s">
        <v>878</v>
      </c>
      <c r="C6" s="17" t="s">
        <v>879</v>
      </c>
      <c r="D6" s="7" t="n">
        <v>3</v>
      </c>
      <c r="E6" s="16" t="s">
        <v>880</v>
      </c>
      <c r="F6" s="16" t="s">
        <v>881</v>
      </c>
    </row>
    <row r="7" customFormat="false" ht="16.5" hidden="false" customHeight="true" outlineLevel="0" collapsed="false">
      <c r="A7" s="7" t="s">
        <v>882</v>
      </c>
      <c r="B7" s="16" t="s">
        <v>883</v>
      </c>
      <c r="C7" s="17" t="s">
        <v>864</v>
      </c>
      <c r="D7" s="7" t="n">
        <v>4</v>
      </c>
      <c r="E7" s="16" t="s">
        <v>884</v>
      </c>
      <c r="F7" s="16" t="s">
        <v>401</v>
      </c>
    </row>
    <row r="8" customFormat="false" ht="16.5" hidden="false" customHeight="true" outlineLevel="0" collapsed="false">
      <c r="A8" s="7" t="s">
        <v>885</v>
      </c>
      <c r="B8" s="16" t="s">
        <v>886</v>
      </c>
      <c r="C8" s="17" t="s">
        <v>887</v>
      </c>
      <c r="D8" s="7" t="n">
        <v>4</v>
      </c>
      <c r="E8" s="16" t="s">
        <v>888</v>
      </c>
      <c r="F8" s="16" t="s">
        <v>889</v>
      </c>
    </row>
    <row r="9" customFormat="false" ht="16.5" hidden="false" customHeight="true" outlineLevel="0" collapsed="false">
      <c r="A9" s="7" t="s">
        <v>890</v>
      </c>
      <c r="B9" s="16" t="s">
        <v>891</v>
      </c>
      <c r="C9" s="17" t="s">
        <v>879</v>
      </c>
      <c r="D9" s="7" t="n">
        <v>4</v>
      </c>
      <c r="E9" s="16" t="s">
        <v>892</v>
      </c>
      <c r="F9" s="16" t="s">
        <v>893</v>
      </c>
    </row>
    <row r="10" customFormat="false" ht="16.5" hidden="false" customHeight="true" outlineLevel="0" collapsed="false">
      <c r="A10" s="7" t="s">
        <v>894</v>
      </c>
      <c r="B10" s="16" t="s">
        <v>895</v>
      </c>
      <c r="C10" s="17" t="s">
        <v>896</v>
      </c>
      <c r="D10" s="7" t="n">
        <v>4</v>
      </c>
      <c r="E10" s="16" t="s">
        <v>897</v>
      </c>
      <c r="F10" s="16" t="s">
        <v>898</v>
      </c>
    </row>
    <row r="11" customFormat="false" ht="30" hidden="false" customHeight="true" outlineLevel="0" collapsed="false">
      <c r="A11" s="7" t="s">
        <v>899</v>
      </c>
      <c r="B11" s="16" t="s">
        <v>900</v>
      </c>
      <c r="C11" s="17" t="s">
        <v>869</v>
      </c>
      <c r="D11" s="7" t="n">
        <v>6</v>
      </c>
      <c r="E11" s="16" t="s">
        <v>901</v>
      </c>
      <c r="F11" s="16" t="s">
        <v>902</v>
      </c>
    </row>
    <row r="12" customFormat="false" ht="16.5" hidden="false" customHeight="true" outlineLevel="0" collapsed="false">
      <c r="A12" s="7" t="s">
        <v>903</v>
      </c>
      <c r="B12" s="16" t="s">
        <v>904</v>
      </c>
      <c r="C12" s="17" t="s">
        <v>887</v>
      </c>
      <c r="D12" s="7" t="n">
        <v>6</v>
      </c>
      <c r="E12" s="16" t="s">
        <v>905</v>
      </c>
      <c r="F12" s="16" t="s">
        <v>906</v>
      </c>
    </row>
    <row r="13" customFormat="false" ht="16.5" hidden="false" customHeight="true" outlineLevel="0" collapsed="false">
      <c r="A13" s="7" t="s">
        <v>907</v>
      </c>
      <c r="B13" s="16" t="s">
        <v>908</v>
      </c>
      <c r="C13" s="17" t="s">
        <v>909</v>
      </c>
      <c r="D13" s="7" t="n">
        <v>6</v>
      </c>
      <c r="E13" s="16" t="s">
        <v>910</v>
      </c>
      <c r="F13" s="16" t="s">
        <v>911</v>
      </c>
    </row>
    <row r="14" customFormat="false" ht="16.5" hidden="false" customHeight="true" outlineLevel="0" collapsed="false">
      <c r="A14" s="7" t="s">
        <v>912</v>
      </c>
      <c r="B14" s="16" t="s">
        <v>913</v>
      </c>
      <c r="C14" s="17" t="s">
        <v>914</v>
      </c>
      <c r="D14" s="7"/>
      <c r="E14" s="16" t="s">
        <v>915</v>
      </c>
      <c r="F14" s="16" t="s">
        <v>916</v>
      </c>
    </row>
  </sheetData>
  <autoFilter ref="A1:F14"/>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6"/>
    <col collapsed="false" customWidth="true" hidden="false" outlineLevel="0" max="3" min="3" style="0" width="11"/>
    <col collapsed="false" customWidth="true" hidden="false" outlineLevel="0" max="4" min="4" style="0" width="12"/>
    <col collapsed="false" customWidth="true" hidden="false" outlineLevel="0" max="9" min="5" style="0" width="11"/>
  </cols>
  <sheetData>
    <row r="1" customFormat="false" ht="19.7" hidden="false" customHeight="false" outlineLevel="0" collapsed="false">
      <c r="A1" s="1" t="s">
        <v>917</v>
      </c>
    </row>
    <row r="2" customFormat="false" ht="30" hidden="false" customHeight="true" outlineLevel="0" collapsed="false">
      <c r="A2" s="22" t="s">
        <v>918</v>
      </c>
      <c r="B2" s="22"/>
      <c r="C2" s="22"/>
      <c r="D2" s="22"/>
      <c r="E2" s="22"/>
      <c r="F2" s="22"/>
      <c r="G2" s="22"/>
      <c r="H2" s="22"/>
      <c r="I2" s="22"/>
    </row>
    <row r="4" customFormat="false" ht="27.75" hidden="false" customHeight="true" outlineLevel="0" collapsed="false">
      <c r="A4" s="6" t="s">
        <v>29</v>
      </c>
      <c r="B4" s="6" t="s">
        <v>919</v>
      </c>
      <c r="C4" s="6" t="s">
        <v>30</v>
      </c>
      <c r="D4" s="6" t="s">
        <v>920</v>
      </c>
      <c r="E4" s="6" t="s">
        <v>39</v>
      </c>
      <c r="F4" s="6" t="s">
        <v>921</v>
      </c>
      <c r="G4" s="6" t="s">
        <v>41</v>
      </c>
      <c r="H4" s="6" t="s">
        <v>922</v>
      </c>
      <c r="I4" s="6" t="s">
        <v>923</v>
      </c>
    </row>
    <row r="5" customFormat="false" ht="15" hidden="false" customHeight="false" outlineLevel="0" collapsed="false">
      <c r="A5" s="17" t="s">
        <v>45</v>
      </c>
      <c r="B5" s="17" t="s">
        <v>924</v>
      </c>
      <c r="C5" s="7" t="s">
        <v>925</v>
      </c>
      <c r="D5" s="23" t="n">
        <v>14</v>
      </c>
      <c r="E5" s="23" t="n">
        <v>1.6</v>
      </c>
      <c r="F5" s="19" t="n">
        <f aca="false">ROUND(D5*E5,1)</f>
        <v>22.4</v>
      </c>
      <c r="G5" s="23" t="n">
        <v>70</v>
      </c>
      <c r="H5" s="23" t="n">
        <v>1</v>
      </c>
      <c r="I5" s="7" t="n">
        <f aca="false">COUNTIF(Weapons!$C:$C,A5)</f>
        <v>18</v>
      </c>
    </row>
    <row r="6" customFormat="false" ht="15" hidden="false" customHeight="false" outlineLevel="0" collapsed="false">
      <c r="A6" s="17" t="s">
        <v>62</v>
      </c>
      <c r="B6" s="17" t="s">
        <v>926</v>
      </c>
      <c r="C6" s="7" t="s">
        <v>927</v>
      </c>
      <c r="D6" s="23" t="n">
        <v>26</v>
      </c>
      <c r="E6" s="23" t="n">
        <v>0.8</v>
      </c>
      <c r="F6" s="19" t="n">
        <f aca="false">ROUND(D6*E6,1)</f>
        <v>20.8</v>
      </c>
      <c r="G6" s="23" t="n">
        <v>95</v>
      </c>
      <c r="H6" s="23" t="n">
        <v>1</v>
      </c>
      <c r="I6" s="7" t="n">
        <f aca="false">COUNTIF(Weapons!$C:$C,A6)</f>
        <v>9</v>
      </c>
    </row>
    <row r="7" customFormat="false" ht="15" hidden="false" customHeight="false" outlineLevel="0" collapsed="false">
      <c r="A7" s="17" t="s">
        <v>76</v>
      </c>
      <c r="B7" s="17" t="s">
        <v>928</v>
      </c>
      <c r="C7" s="7" t="s">
        <v>929</v>
      </c>
      <c r="D7" s="23" t="n">
        <v>11</v>
      </c>
      <c r="E7" s="23" t="n">
        <v>1.8</v>
      </c>
      <c r="F7" s="19" t="n">
        <f aca="false">ROUND(D7*E7,1)</f>
        <v>19.8</v>
      </c>
      <c r="G7" s="23" t="n">
        <v>380</v>
      </c>
      <c r="H7" s="23" t="n">
        <v>1</v>
      </c>
      <c r="I7" s="7" t="n">
        <f aca="false">COUNTIF(Weapons!$C:$C,A7)</f>
        <v>7</v>
      </c>
    </row>
    <row r="8" customFormat="false" ht="15" hidden="false" customHeight="false" outlineLevel="0" collapsed="false">
      <c r="A8" s="17" t="s">
        <v>91</v>
      </c>
      <c r="B8" s="17" t="s">
        <v>930</v>
      </c>
      <c r="C8" s="7" t="s">
        <v>931</v>
      </c>
      <c r="D8" s="23" t="n">
        <v>4</v>
      </c>
      <c r="E8" s="23" t="n">
        <v>10</v>
      </c>
      <c r="F8" s="19" t="n">
        <f aca="false">ROUND(D8*E8,1)</f>
        <v>40</v>
      </c>
      <c r="G8" s="23" t="n">
        <v>350</v>
      </c>
      <c r="H8" s="23" t="n">
        <v>1</v>
      </c>
      <c r="I8" s="7" t="n">
        <f aca="false">COUNTIF(Weapons!$C:$C,A8)</f>
        <v>7</v>
      </c>
    </row>
    <row r="9" customFormat="false" ht="15" hidden="false" customHeight="false" outlineLevel="0" collapsed="false">
      <c r="A9" s="17" t="s">
        <v>104</v>
      </c>
      <c r="B9" s="17" t="s">
        <v>932</v>
      </c>
      <c r="C9" s="7" t="s">
        <v>925</v>
      </c>
      <c r="D9" s="23" t="n">
        <v>8</v>
      </c>
      <c r="E9" s="23" t="n">
        <v>3</v>
      </c>
      <c r="F9" s="19" t="n">
        <f aca="false">ROUND(D9*E9,1)</f>
        <v>24</v>
      </c>
      <c r="G9" s="23" t="n">
        <v>420</v>
      </c>
      <c r="H9" s="23" t="n">
        <v>2</v>
      </c>
      <c r="I9" s="7" t="n">
        <f aca="false">COUNTIF(Weapons!$C:$C,A9)</f>
        <v>7</v>
      </c>
    </row>
    <row r="10" customFormat="false" ht="15" hidden="false" customHeight="false" outlineLevel="0" collapsed="false">
      <c r="A10" s="17" t="s">
        <v>129</v>
      </c>
      <c r="B10" s="17" t="s">
        <v>933</v>
      </c>
      <c r="C10" s="7" t="s">
        <v>927</v>
      </c>
      <c r="D10" s="23" t="n">
        <v>18</v>
      </c>
      <c r="E10" s="23" t="n">
        <v>1</v>
      </c>
      <c r="F10" s="19" t="n">
        <f aca="false">ROUND(D10*E10,1)</f>
        <v>18</v>
      </c>
      <c r="G10" s="23" t="n">
        <v>90</v>
      </c>
      <c r="H10" s="23" t="n">
        <v>2</v>
      </c>
      <c r="I10" s="7" t="n">
        <f aca="false">COUNTIF(Weapons!$C:$C,A10)</f>
        <v>5</v>
      </c>
    </row>
    <row r="11" customFormat="false" ht="15" hidden="false" customHeight="false" outlineLevel="0" collapsed="false">
      <c r="A11" s="17" t="s">
        <v>149</v>
      </c>
      <c r="B11" s="17" t="s">
        <v>934</v>
      </c>
      <c r="C11" s="7" t="s">
        <v>929</v>
      </c>
      <c r="D11" s="23" t="n">
        <v>18</v>
      </c>
      <c r="E11" s="23" t="n">
        <v>1.2</v>
      </c>
      <c r="F11" s="19" t="n">
        <f aca="false">ROUND(D11*E11,1)</f>
        <v>21.6</v>
      </c>
      <c r="G11" s="23" t="n">
        <v>130</v>
      </c>
      <c r="H11" s="23" t="n">
        <v>2</v>
      </c>
      <c r="I11" s="7" t="n">
        <f aca="false">COUNTIF(Weapons!$C:$C,A11)</f>
        <v>8</v>
      </c>
    </row>
    <row r="12" customFormat="false" ht="15" hidden="false" customHeight="false" outlineLevel="0" collapsed="false">
      <c r="A12" s="17" t="s">
        <v>167</v>
      </c>
      <c r="B12" s="17" t="s">
        <v>935</v>
      </c>
      <c r="C12" s="7" t="s">
        <v>931</v>
      </c>
      <c r="D12" s="23" t="n">
        <v>7</v>
      </c>
      <c r="E12" s="23" t="n">
        <v>2.5</v>
      </c>
      <c r="F12" s="19" t="n">
        <f aca="false">ROUND(D12*E12,1)</f>
        <v>17.5</v>
      </c>
      <c r="G12" s="23" t="n">
        <v>300</v>
      </c>
      <c r="H12" s="23" t="n">
        <v>2</v>
      </c>
      <c r="I12" s="7" t="n">
        <f aca="false">COUNTIF(Weapons!$C:$C,A12)</f>
        <v>4</v>
      </c>
    </row>
    <row r="13" customFormat="false" ht="15" hidden="false" customHeight="false" outlineLevel="0" collapsed="false">
      <c r="A13" s="17" t="s">
        <v>248</v>
      </c>
      <c r="B13" s="17" t="s">
        <v>936</v>
      </c>
      <c r="C13" s="7" t="s">
        <v>925</v>
      </c>
      <c r="D13" s="23" t="n">
        <v>30</v>
      </c>
      <c r="E13" s="23" t="n">
        <v>1</v>
      </c>
      <c r="F13" s="19" t="n">
        <f aca="false">ROUND(D13*E13,1)</f>
        <v>30</v>
      </c>
      <c r="G13" s="23" t="n">
        <v>220</v>
      </c>
      <c r="H13" s="23" t="n">
        <v>4</v>
      </c>
      <c r="I13" s="7" t="n">
        <f aca="false">COUNTIF(Weapons!$C:$C,A13)</f>
        <v>4</v>
      </c>
    </row>
    <row r="14" customFormat="false" ht="15" hidden="false" customHeight="false" outlineLevel="0" collapsed="false">
      <c r="A14" s="17" t="s">
        <v>266</v>
      </c>
      <c r="B14" s="17" t="s">
        <v>937</v>
      </c>
      <c r="C14" s="7" t="s">
        <v>925</v>
      </c>
      <c r="D14" s="23" t="n">
        <v>30</v>
      </c>
      <c r="E14" s="23" t="n">
        <v>0.8</v>
      </c>
      <c r="F14" s="19" t="n">
        <f aca="false">ROUND(D14*E14,1)</f>
        <v>24</v>
      </c>
      <c r="G14" s="23" t="n">
        <v>600</v>
      </c>
      <c r="H14" s="23" t="n">
        <v>4</v>
      </c>
      <c r="I14" s="7" t="n">
        <f aca="false">COUNTIF(Weapons!$C:$C,A14)</f>
        <v>5</v>
      </c>
    </row>
    <row r="15" customFormat="false" ht="15" hidden="false" customHeight="false" outlineLevel="0" collapsed="false">
      <c r="A15" s="17" t="s">
        <v>289</v>
      </c>
      <c r="B15" s="17" t="s">
        <v>938</v>
      </c>
      <c r="C15" s="7" t="s">
        <v>927</v>
      </c>
      <c r="D15" s="23" t="n">
        <v>7</v>
      </c>
      <c r="E15" s="23" t="n">
        <v>3.5</v>
      </c>
      <c r="F15" s="19" t="n">
        <f aca="false">ROUND(D15*E15,1)</f>
        <v>24.5</v>
      </c>
      <c r="G15" s="23" t="n">
        <v>45</v>
      </c>
      <c r="H15" s="23" t="n">
        <v>4</v>
      </c>
      <c r="I15" s="7" t="n">
        <f aca="false">COUNTIF(Weapons!$C:$C,A15)</f>
        <v>7</v>
      </c>
    </row>
    <row r="16" customFormat="false" ht="15" hidden="false" customHeight="false" outlineLevel="0" collapsed="false">
      <c r="A16" s="17" t="s">
        <v>317</v>
      </c>
      <c r="B16" s="17" t="s">
        <v>939</v>
      </c>
      <c r="C16" s="7" t="s">
        <v>929</v>
      </c>
      <c r="D16" s="23" t="n">
        <v>6</v>
      </c>
      <c r="E16" s="23" t="n">
        <v>4</v>
      </c>
      <c r="F16" s="19" t="n">
        <f aca="false">ROUND(D16*E16,1)</f>
        <v>24</v>
      </c>
      <c r="G16" s="23" t="n">
        <v>90</v>
      </c>
      <c r="H16" s="23" t="n">
        <v>4</v>
      </c>
      <c r="I16" s="7" t="n">
        <f aca="false">COUNTIF(Weapons!$C:$C,A16)</f>
        <v>4</v>
      </c>
    </row>
    <row r="17" customFormat="false" ht="15" hidden="false" customHeight="false" outlineLevel="0" collapsed="false">
      <c r="A17" s="17" t="s">
        <v>333</v>
      </c>
      <c r="B17" s="17" t="s">
        <v>940</v>
      </c>
      <c r="C17" s="7" t="s">
        <v>931</v>
      </c>
      <c r="D17" s="23" t="n">
        <v>12</v>
      </c>
      <c r="E17" s="23" t="n">
        <v>0.9</v>
      </c>
      <c r="F17" s="19" t="n">
        <f aca="false">ROUND(D17*E17,1)</f>
        <v>10.8</v>
      </c>
      <c r="G17" s="23" t="n">
        <v>300</v>
      </c>
      <c r="H17" s="23" t="n">
        <v>4</v>
      </c>
      <c r="I17" s="7" t="n">
        <f aca="false">COUNTIF(Weapons!$C:$C,A17)</f>
        <v>4</v>
      </c>
    </row>
    <row r="18" customFormat="false" ht="15" hidden="false" customHeight="false" outlineLevel="0" collapsed="false">
      <c r="A18" s="17" t="s">
        <v>348</v>
      </c>
      <c r="B18" s="17" t="s">
        <v>941</v>
      </c>
      <c r="C18" s="7" t="s">
        <v>942</v>
      </c>
      <c r="D18" s="23" t="n">
        <v>35</v>
      </c>
      <c r="E18" s="23" t="n">
        <v>0.6</v>
      </c>
      <c r="F18" s="19" t="n">
        <f aca="false">ROUND(D18*E18,1)</f>
        <v>21</v>
      </c>
      <c r="G18" s="23" t="n">
        <v>450</v>
      </c>
      <c r="H18" s="23" t="n">
        <v>4</v>
      </c>
      <c r="I18" s="7" t="n">
        <f aca="false">COUNTIF(Weapons!$C:$C,A18)</f>
        <v>5</v>
      </c>
    </row>
    <row r="19" customFormat="false" ht="15" hidden="false" customHeight="false" outlineLevel="0" collapsed="false">
      <c r="A19" s="17" t="s">
        <v>367</v>
      </c>
      <c r="B19" s="17" t="s">
        <v>943</v>
      </c>
      <c r="C19" s="7" t="s">
        <v>942</v>
      </c>
      <c r="D19" s="23" t="n">
        <v>15</v>
      </c>
      <c r="E19" s="23" t="n">
        <v>1.2</v>
      </c>
      <c r="F19" s="19" t="n">
        <f aca="false">ROUND(D19*E19,1)</f>
        <v>18</v>
      </c>
      <c r="G19" s="23" t="n">
        <v>320</v>
      </c>
      <c r="H19" s="23" t="n">
        <v>4</v>
      </c>
      <c r="I19" s="7" t="n">
        <f aca="false">COUNTIF(Weapons!$C:$C,A19)</f>
        <v>7</v>
      </c>
    </row>
    <row r="20" customFormat="false" ht="15" hidden="false" customHeight="false" outlineLevel="0" collapsed="false">
      <c r="A20" s="2" t="s">
        <v>944</v>
      </c>
    </row>
    <row r="23" customFormat="false" ht="27.75" hidden="false" customHeight="true" outlineLevel="0" collapsed="false">
      <c r="A23" s="6" t="s">
        <v>32</v>
      </c>
      <c r="B23" s="6" t="s">
        <v>945</v>
      </c>
      <c r="C23" s="6" t="s">
        <v>946</v>
      </c>
      <c r="D23" s="6" t="s">
        <v>947</v>
      </c>
      <c r="E23" s="6" t="s">
        <v>948</v>
      </c>
      <c r="F23" s="6" t="s">
        <v>774</v>
      </c>
      <c r="G23" s="6" t="s">
        <v>923</v>
      </c>
    </row>
    <row r="24" customFormat="false" ht="15" hidden="false" customHeight="false" outlineLevel="0" collapsed="false">
      <c r="A24" s="7" t="s">
        <v>21</v>
      </c>
      <c r="B24" s="18" t="n">
        <v>1</v>
      </c>
      <c r="C24" s="23" t="n">
        <v>0</v>
      </c>
      <c r="D24" s="23" t="n">
        <v>3</v>
      </c>
      <c r="E24" s="23" t="n">
        <v>10</v>
      </c>
      <c r="F24" s="24" t="n">
        <v>25</v>
      </c>
      <c r="G24" s="7" t="n">
        <f aca="false">COUNTIF(Weapons!$F:$F,A24)</f>
        <v>15</v>
      </c>
    </row>
    <row r="25" customFormat="false" ht="15" hidden="false" customHeight="false" outlineLevel="0" collapsed="false">
      <c r="A25" s="7" t="s">
        <v>22</v>
      </c>
      <c r="B25" s="18" t="n">
        <v>1.06</v>
      </c>
      <c r="C25" s="23" t="n">
        <v>1</v>
      </c>
      <c r="D25" s="23" t="n">
        <v>4</v>
      </c>
      <c r="E25" s="23" t="n">
        <v>15</v>
      </c>
      <c r="F25" s="24" t="n">
        <v>60</v>
      </c>
      <c r="G25" s="7" t="n">
        <f aca="false">COUNTIF(Weapons!$F:$F,A25)</f>
        <v>14</v>
      </c>
    </row>
    <row r="26" customFormat="false" ht="15" hidden="false" customHeight="false" outlineLevel="0" collapsed="false">
      <c r="A26" s="7" t="s">
        <v>23</v>
      </c>
      <c r="B26" s="18" t="n">
        <v>1.12</v>
      </c>
      <c r="C26" s="23" t="n">
        <v>2</v>
      </c>
      <c r="D26" s="23" t="n">
        <v>5</v>
      </c>
      <c r="E26" s="23" t="n">
        <v>20</v>
      </c>
      <c r="F26" s="24" t="n">
        <v>150</v>
      </c>
      <c r="G26" s="7" t="n">
        <f aca="false">COUNTIF(Weapons!$F:$F,A26)</f>
        <v>18</v>
      </c>
    </row>
    <row r="27" customFormat="false" ht="15" hidden="false" customHeight="false" outlineLevel="0" collapsed="false">
      <c r="A27" s="7" t="s">
        <v>24</v>
      </c>
      <c r="B27" s="18" t="n">
        <v>1.2</v>
      </c>
      <c r="C27" s="23" t="n">
        <v>3</v>
      </c>
      <c r="D27" s="23" t="n">
        <v>6</v>
      </c>
      <c r="E27" s="23" t="n">
        <v>25</v>
      </c>
      <c r="F27" s="24" t="n">
        <v>400</v>
      </c>
      <c r="G27" s="7" t="n">
        <f aca="false">COUNTIF(Weapons!$F:$F,A27)</f>
        <v>23</v>
      </c>
    </row>
    <row r="28" customFormat="false" ht="15" hidden="false" customHeight="false" outlineLevel="0" collapsed="false">
      <c r="A28" s="7" t="s">
        <v>25</v>
      </c>
      <c r="B28" s="18" t="n">
        <v>1.3</v>
      </c>
      <c r="C28" s="23" t="n">
        <v>3</v>
      </c>
      <c r="D28" s="23" t="n">
        <v>8</v>
      </c>
      <c r="E28" s="23" t="n">
        <v>35</v>
      </c>
      <c r="F28" s="24"/>
      <c r="G28" s="7" t="n">
        <f aca="false">COUNTIF(Weapons!$F:$F,A28)</f>
        <v>27</v>
      </c>
    </row>
    <row r="29" customFormat="false" ht="15" hidden="false" customHeight="false" outlineLevel="0" collapsed="false">
      <c r="A29" s="7" t="s">
        <v>26</v>
      </c>
      <c r="B29" s="18" t="n">
        <v>1.4</v>
      </c>
      <c r="C29" s="23" t="n">
        <v>4</v>
      </c>
      <c r="D29" s="23" t="n">
        <v>10</v>
      </c>
      <c r="E29" s="23" t="n">
        <v>45</v>
      </c>
      <c r="F29" s="24"/>
      <c r="G29" s="7" t="n">
        <f aca="false">COUNTIF(Weapons!$F:$F,A29)</f>
        <v>4</v>
      </c>
    </row>
    <row r="30" customFormat="false" ht="15" hidden="false" customHeight="false" outlineLevel="0" collapsed="false">
      <c r="A30" s="2" t="s">
        <v>949</v>
      </c>
    </row>
  </sheetData>
  <mergeCells count="1">
    <mergeCell ref="A2:I2"/>
  </mergeCells>
  <conditionalFormatting sqref="A24:A29">
    <cfRule type="cellIs" priority="2" operator="equal" aboveAverage="0" equalAverage="0" bottom="0" percent="0" rank="0" text="" dxfId="10">
      <formula>"Common"</formula>
    </cfRule>
    <cfRule type="cellIs" priority="3" operator="equal" aboveAverage="0" equalAverage="0" bottom="0" percent="0" rank="0" text="" dxfId="11">
      <formula>"Uncommon"</formula>
    </cfRule>
    <cfRule type="cellIs" priority="4" operator="equal" aboveAverage="0" equalAverage="0" bottom="0" percent="0" rank="0" text="" dxfId="12">
      <formula>"Rare"</formula>
    </cfRule>
    <cfRule type="cellIs" priority="5" operator="equal" aboveAverage="0" equalAverage="0" bottom="0" percent="0" rank="0" text="" dxfId="13">
      <formula>"Epic"</formula>
    </cfRule>
    <cfRule type="cellIs" priority="6" operator="equal" aboveAverage="0" equalAverage="0" bottom="0" percent="0" rank="0" text="" dxfId="14">
      <formula>"Legendary"</formula>
    </cfRule>
    <cfRule type="cellIs" priority="7" operator="equal" aboveAverage="0" equalAverage="0" bottom="0" percent="0" rank="0" text="" dxfId="15">
      <formula>"Mythic"</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30"/>
    <col collapsed="false" customWidth="true" hidden="false" outlineLevel="0" max="4" min="4" style="0" width="46"/>
    <col collapsed="false" customWidth="true" hidden="false" outlineLevel="0" max="5" min="5" style="0" width="14"/>
  </cols>
  <sheetData>
    <row r="1" customFormat="false" ht="27.75" hidden="false" customHeight="true" outlineLevel="0" collapsed="false">
      <c r="A1" s="6" t="s">
        <v>950</v>
      </c>
      <c r="B1" s="6" t="s">
        <v>951</v>
      </c>
      <c r="C1" s="6" t="s">
        <v>952</v>
      </c>
      <c r="D1" s="6" t="s">
        <v>953</v>
      </c>
      <c r="E1" s="6" t="s">
        <v>954</v>
      </c>
    </row>
    <row r="2" customFormat="false" ht="16.5" hidden="false" customHeight="true" outlineLevel="0" collapsed="false">
      <c r="A2" s="7" t="n">
        <v>1</v>
      </c>
      <c r="B2" s="16" t="s">
        <v>955</v>
      </c>
      <c r="C2" s="16" t="s">
        <v>956</v>
      </c>
      <c r="D2" s="16" t="s">
        <v>629</v>
      </c>
      <c r="E2" s="16" t="s">
        <v>628</v>
      </c>
    </row>
    <row r="3" customFormat="false" ht="16.5" hidden="false" customHeight="true" outlineLevel="0" collapsed="false">
      <c r="A3" s="7" t="n">
        <v>2</v>
      </c>
      <c r="B3" s="16" t="s">
        <v>957</v>
      </c>
      <c r="C3" s="16" t="s">
        <v>958</v>
      </c>
      <c r="D3" s="16" t="s">
        <v>546</v>
      </c>
      <c r="E3" s="16" t="s">
        <v>545</v>
      </c>
    </row>
    <row r="4" customFormat="false" ht="16.5" hidden="false" customHeight="true" outlineLevel="0" collapsed="false">
      <c r="A4" s="7" t="n">
        <v>3</v>
      </c>
      <c r="B4" s="16" t="s">
        <v>959</v>
      </c>
      <c r="C4" s="16" t="s">
        <v>960</v>
      </c>
      <c r="D4" s="16" t="s">
        <v>114</v>
      </c>
      <c r="E4" s="16" t="s">
        <v>113</v>
      </c>
    </row>
    <row r="5" customFormat="false" ht="16.5" hidden="false" customHeight="true" outlineLevel="0" collapsed="false">
      <c r="A5" s="7" t="n">
        <v>4</v>
      </c>
      <c r="B5" s="16" t="s">
        <v>961</v>
      </c>
      <c r="C5" s="16" t="s">
        <v>960</v>
      </c>
      <c r="D5" s="16" t="s">
        <v>239</v>
      </c>
      <c r="E5" s="16" t="s">
        <v>238</v>
      </c>
    </row>
    <row r="6" customFormat="false" ht="16.5" hidden="false" customHeight="true" outlineLevel="0" collapsed="false">
      <c r="A6" s="7" t="n">
        <v>5</v>
      </c>
      <c r="B6" s="16" t="s">
        <v>962</v>
      </c>
      <c r="C6" s="16" t="s">
        <v>963</v>
      </c>
      <c r="D6" s="16" t="s">
        <v>358</v>
      </c>
      <c r="E6" s="16" t="s">
        <v>357</v>
      </c>
    </row>
    <row r="7" customFormat="false" ht="16.5" hidden="false" customHeight="true" outlineLevel="0" collapsed="false">
      <c r="A7" s="7" t="n">
        <v>6</v>
      </c>
      <c r="B7" s="16" t="s">
        <v>964</v>
      </c>
      <c r="C7" s="16" t="s">
        <v>960</v>
      </c>
      <c r="D7" s="16" t="s">
        <v>95</v>
      </c>
      <c r="E7" s="16" t="s">
        <v>94</v>
      </c>
    </row>
    <row r="8" customFormat="false" ht="16.5" hidden="false" customHeight="true" outlineLevel="0" collapsed="false">
      <c r="A8" s="7" t="n">
        <v>7</v>
      </c>
      <c r="B8" s="16" t="s">
        <v>965</v>
      </c>
      <c r="C8" s="16" t="s">
        <v>966</v>
      </c>
      <c r="D8" s="16" t="s">
        <v>590</v>
      </c>
      <c r="E8" s="16" t="s">
        <v>589</v>
      </c>
    </row>
    <row r="9" customFormat="false" ht="16.5" hidden="false" customHeight="true" outlineLevel="0" collapsed="false">
      <c r="A9" s="7" t="n">
        <v>8</v>
      </c>
      <c r="B9" s="16" t="s">
        <v>967</v>
      </c>
      <c r="C9" s="16" t="s">
        <v>968</v>
      </c>
      <c r="D9" s="16" t="s">
        <v>514</v>
      </c>
      <c r="E9" s="16" t="s">
        <v>513</v>
      </c>
    </row>
    <row r="10" customFormat="false" ht="16.5" hidden="false" customHeight="true" outlineLevel="0" collapsed="false">
      <c r="A10" s="7" t="n">
        <v>9</v>
      </c>
      <c r="B10" s="16" t="s">
        <v>969</v>
      </c>
      <c r="C10" s="16" t="s">
        <v>970</v>
      </c>
      <c r="D10" s="16" t="s">
        <v>429</v>
      </c>
      <c r="E10" s="16" t="s">
        <v>428</v>
      </c>
    </row>
    <row r="11" customFormat="false" ht="16.5" hidden="false" customHeight="true" outlineLevel="0" collapsed="false">
      <c r="A11" s="7" t="n">
        <v>10</v>
      </c>
      <c r="B11" s="16" t="s">
        <v>971</v>
      </c>
      <c r="C11" s="16" t="s">
        <v>972</v>
      </c>
      <c r="D11" s="16" t="s">
        <v>649</v>
      </c>
      <c r="E11" s="16" t="s">
        <v>648</v>
      </c>
    </row>
    <row r="12" customFormat="false" ht="16.5" hidden="false" customHeight="true" outlineLevel="0" collapsed="false">
      <c r="A12" s="7" t="n">
        <v>11</v>
      </c>
      <c r="B12" s="16" t="s">
        <v>973</v>
      </c>
      <c r="C12" s="16" t="s">
        <v>970</v>
      </c>
      <c r="D12" s="16" t="s">
        <v>488</v>
      </c>
      <c r="E12" s="16" t="s">
        <v>487</v>
      </c>
    </row>
    <row r="13" customFormat="false" ht="16.5" hidden="false" customHeight="true" outlineLevel="0" collapsed="false">
      <c r="A13" s="7" t="n">
        <v>12</v>
      </c>
      <c r="B13" s="16" t="s">
        <v>974</v>
      </c>
      <c r="C13" s="16" t="s">
        <v>972</v>
      </c>
      <c r="D13" s="16" t="s">
        <v>785</v>
      </c>
      <c r="E13" s="16" t="s">
        <v>784</v>
      </c>
    </row>
    <row r="14" customFormat="false" ht="16.5" hidden="false" customHeight="true" outlineLevel="0" collapsed="false">
      <c r="A14" s="7" t="n">
        <v>13</v>
      </c>
      <c r="B14" s="16" t="s">
        <v>975</v>
      </c>
      <c r="C14" s="16" t="s">
        <v>976</v>
      </c>
      <c r="D14" s="16" t="s">
        <v>674</v>
      </c>
      <c r="E14" s="16" t="s">
        <v>673</v>
      </c>
    </row>
    <row r="15" customFormat="false" ht="16.5" hidden="false" customHeight="true" outlineLevel="0" collapsed="false">
      <c r="A15" s="7" t="n">
        <v>14</v>
      </c>
      <c r="B15" s="16" t="s">
        <v>977</v>
      </c>
      <c r="C15" s="16" t="s">
        <v>978</v>
      </c>
      <c r="D15" s="16" t="s">
        <v>633</v>
      </c>
      <c r="E15" s="16" t="s">
        <v>632</v>
      </c>
    </row>
    <row r="16" customFormat="false" ht="16.5" hidden="false" customHeight="true" outlineLevel="0" collapsed="false">
      <c r="A16" s="7" t="n">
        <v>15</v>
      </c>
      <c r="B16" s="16" t="s">
        <v>979</v>
      </c>
      <c r="C16" s="16" t="s">
        <v>980</v>
      </c>
      <c r="D16" s="16" t="s">
        <v>390</v>
      </c>
      <c r="E16" s="16" t="s">
        <v>389</v>
      </c>
    </row>
    <row r="17" customFormat="false" ht="16.5" hidden="false" customHeight="true" outlineLevel="0" collapsed="false">
      <c r="A17" s="7" t="n">
        <v>16</v>
      </c>
      <c r="B17" s="16" t="s">
        <v>981</v>
      </c>
      <c r="C17" s="16" t="s">
        <v>982</v>
      </c>
      <c r="D17" s="16" t="s">
        <v>598</v>
      </c>
      <c r="E17" s="16" t="s">
        <v>597</v>
      </c>
    </row>
    <row r="18" customFormat="false" ht="16.5" hidden="false" customHeight="true" outlineLevel="0" collapsed="false">
      <c r="A18" s="7" t="n">
        <v>17</v>
      </c>
      <c r="B18" s="16" t="s">
        <v>983</v>
      </c>
      <c r="C18" s="16" t="s">
        <v>984</v>
      </c>
      <c r="D18" s="16" t="s">
        <v>814</v>
      </c>
      <c r="E18" s="16" t="s">
        <v>813</v>
      </c>
    </row>
    <row r="19" customFormat="false" ht="16.5" hidden="false" customHeight="true" outlineLevel="0" collapsed="false">
      <c r="A19" s="7" t="n">
        <v>18</v>
      </c>
      <c r="B19" s="16" t="s">
        <v>985</v>
      </c>
      <c r="C19" s="16" t="s">
        <v>986</v>
      </c>
      <c r="D19" s="16" t="s">
        <v>670</v>
      </c>
      <c r="E19" s="16" t="s">
        <v>669</v>
      </c>
    </row>
    <row r="20" customFormat="false" ht="16.5" hidden="false" customHeight="true" outlineLevel="0" collapsed="false">
      <c r="A20" s="7" t="n">
        <v>19</v>
      </c>
      <c r="B20" s="16" t="s">
        <v>987</v>
      </c>
      <c r="C20" s="16" t="s">
        <v>988</v>
      </c>
      <c r="D20" s="16" t="s">
        <v>171</v>
      </c>
      <c r="E20" s="16" t="s">
        <v>170</v>
      </c>
    </row>
    <row r="21" customFormat="false" ht="16.5" hidden="false" customHeight="true" outlineLevel="0" collapsed="false">
      <c r="A21" s="7" t="n">
        <v>20</v>
      </c>
      <c r="B21" s="16" t="s">
        <v>989</v>
      </c>
      <c r="C21" s="16" t="s">
        <v>990</v>
      </c>
      <c r="D21" s="16" t="s">
        <v>109</v>
      </c>
      <c r="E21" s="16" t="s">
        <v>108</v>
      </c>
    </row>
    <row r="22" customFormat="false" ht="16.5" hidden="false" customHeight="true" outlineLevel="0" collapsed="false">
      <c r="A22" s="7" t="n">
        <v>21</v>
      </c>
      <c r="B22" s="16" t="s">
        <v>991</v>
      </c>
      <c r="C22" s="16" t="s">
        <v>982</v>
      </c>
      <c r="D22" s="16" t="s">
        <v>586</v>
      </c>
      <c r="E22" s="16" t="s">
        <v>585</v>
      </c>
    </row>
    <row r="23" customFormat="false" ht="16.5" hidden="false" customHeight="true" outlineLevel="0" collapsed="false">
      <c r="A23" s="7" t="n">
        <v>22</v>
      </c>
      <c r="B23" s="16" t="s">
        <v>992</v>
      </c>
      <c r="C23" s="16" t="s">
        <v>993</v>
      </c>
      <c r="D23" s="16" t="s">
        <v>698</v>
      </c>
      <c r="E23" s="16" t="s">
        <v>697</v>
      </c>
    </row>
    <row r="24" customFormat="false" ht="16.5" hidden="false" customHeight="true" outlineLevel="0" collapsed="false">
      <c r="A24" s="7" t="n">
        <v>23</v>
      </c>
      <c r="B24" s="16" t="s">
        <v>994</v>
      </c>
      <c r="C24" s="16" t="s">
        <v>976</v>
      </c>
      <c r="D24" s="16" t="s">
        <v>594</v>
      </c>
      <c r="E24" s="16" t="s">
        <v>593</v>
      </c>
    </row>
    <row r="25" customFormat="false" ht="16.5" hidden="false" customHeight="true" outlineLevel="0" collapsed="false">
      <c r="A25" s="7" t="n">
        <v>24</v>
      </c>
      <c r="B25" s="16" t="s">
        <v>995</v>
      </c>
      <c r="C25" s="16" t="s">
        <v>976</v>
      </c>
      <c r="D25" s="16" t="s">
        <v>578</v>
      </c>
      <c r="E25" s="16" t="s">
        <v>577</v>
      </c>
    </row>
    <row r="26" customFormat="false" ht="16.5" hidden="false" customHeight="true" outlineLevel="0" collapsed="false">
      <c r="A26" s="7" t="n">
        <v>25</v>
      </c>
      <c r="B26" s="16" t="s">
        <v>996</v>
      </c>
      <c r="C26" s="16" t="s">
        <v>966</v>
      </c>
      <c r="D26" s="16" t="s">
        <v>354</v>
      </c>
      <c r="E26" s="16" t="s">
        <v>353</v>
      </c>
    </row>
    <row r="27" customFormat="false" ht="16.5" hidden="false" customHeight="true" outlineLevel="0" collapsed="false">
      <c r="A27" s="7" t="n">
        <v>26</v>
      </c>
      <c r="B27" s="16" t="s">
        <v>997</v>
      </c>
      <c r="C27" s="16" t="s">
        <v>998</v>
      </c>
      <c r="D27" s="16" t="s">
        <v>748</v>
      </c>
      <c r="E27" s="16" t="s">
        <v>747</v>
      </c>
    </row>
    <row r="28" customFormat="false" ht="16.5" hidden="false" customHeight="true" outlineLevel="0" collapsed="false">
      <c r="A28" s="7" t="n">
        <v>27</v>
      </c>
      <c r="B28" s="16" t="s">
        <v>999</v>
      </c>
      <c r="C28" s="16" t="s">
        <v>998</v>
      </c>
      <c r="D28" s="16" t="s">
        <v>526</v>
      </c>
      <c r="E28" s="16" t="s">
        <v>525</v>
      </c>
    </row>
    <row r="29" customFormat="false" ht="16.5" hidden="false" customHeight="true" outlineLevel="0" collapsed="false">
      <c r="A29" s="7" t="n">
        <v>28</v>
      </c>
      <c r="B29" s="16" t="s">
        <v>1000</v>
      </c>
      <c r="C29" s="16" t="s">
        <v>978</v>
      </c>
      <c r="D29" s="16" t="s">
        <v>678</v>
      </c>
      <c r="E29" s="16" t="s">
        <v>677</v>
      </c>
    </row>
    <row r="30" customFormat="false" ht="16.5" hidden="false" customHeight="true" outlineLevel="0" collapsed="false">
      <c r="A30" s="7" t="n">
        <v>29</v>
      </c>
      <c r="B30" s="16" t="s">
        <v>1001</v>
      </c>
      <c r="C30" s="16" t="s">
        <v>1002</v>
      </c>
      <c r="D30" s="16" t="s">
        <v>324</v>
      </c>
      <c r="E30" s="16" t="s">
        <v>323</v>
      </c>
    </row>
    <row r="31" customFormat="false" ht="16.5" hidden="false" customHeight="true" outlineLevel="0" collapsed="false">
      <c r="A31" s="7" t="n">
        <v>30</v>
      </c>
      <c r="B31" s="16" t="s">
        <v>1003</v>
      </c>
      <c r="C31" s="16" t="s">
        <v>1004</v>
      </c>
      <c r="D31" s="16" t="s">
        <v>818</v>
      </c>
      <c r="E31" s="16" t="s">
        <v>817</v>
      </c>
    </row>
    <row r="32" customFormat="false" ht="16.5" hidden="false" customHeight="true" outlineLevel="0" collapsed="false">
      <c r="A32" s="7" t="n">
        <v>31</v>
      </c>
      <c r="B32" s="16" t="s">
        <v>1005</v>
      </c>
      <c r="C32" s="16" t="s">
        <v>1006</v>
      </c>
      <c r="D32" s="16" t="s">
        <v>225</v>
      </c>
      <c r="E32" s="16" t="s">
        <v>224</v>
      </c>
    </row>
    <row r="33" customFormat="false" ht="16.5" hidden="false" customHeight="true" outlineLevel="0" collapsed="false">
      <c r="A33" s="7" t="n">
        <v>32</v>
      </c>
      <c r="B33" s="16" t="s">
        <v>1007</v>
      </c>
      <c r="C33" s="16" t="s">
        <v>958</v>
      </c>
      <c r="D33" s="16" t="s">
        <v>510</v>
      </c>
      <c r="E33" s="16" t="s">
        <v>509</v>
      </c>
    </row>
    <row r="34" customFormat="false" ht="16.5" hidden="false" customHeight="true" outlineLevel="0" collapsed="false">
      <c r="A34" s="7" t="n">
        <v>33</v>
      </c>
      <c r="B34" s="16" t="s">
        <v>1008</v>
      </c>
      <c r="C34" s="16" t="s">
        <v>1009</v>
      </c>
      <c r="D34" s="16" t="s">
        <v>300</v>
      </c>
      <c r="E34" s="16" t="s">
        <v>299</v>
      </c>
    </row>
    <row r="35" customFormat="false" ht="16.5" hidden="false" customHeight="true" outlineLevel="0" collapsed="false">
      <c r="A35" s="7" t="n">
        <v>34</v>
      </c>
      <c r="B35" s="16" t="s">
        <v>1010</v>
      </c>
      <c r="C35" s="16" t="s">
        <v>1011</v>
      </c>
      <c r="D35" s="16" t="s">
        <v>582</v>
      </c>
      <c r="E35" s="16" t="s">
        <v>581</v>
      </c>
    </row>
    <row r="36" customFormat="false" ht="16.5" hidden="false" customHeight="true" outlineLevel="0" collapsed="false">
      <c r="A36" s="7" t="n">
        <v>35</v>
      </c>
      <c r="B36" s="16" t="s">
        <v>1012</v>
      </c>
      <c r="C36" s="16" t="s">
        <v>984</v>
      </c>
      <c r="D36" s="16" t="s">
        <v>789</v>
      </c>
      <c r="E36" s="16" t="s">
        <v>788</v>
      </c>
    </row>
    <row r="37" customFormat="false" ht="16.5" hidden="false" customHeight="true" outlineLevel="0" collapsed="false">
      <c r="A37" s="7" t="n">
        <v>36</v>
      </c>
      <c r="B37" s="16" t="s">
        <v>1013</v>
      </c>
      <c r="C37" s="16" t="s">
        <v>1014</v>
      </c>
      <c r="D37" s="16" t="s">
        <v>119</v>
      </c>
      <c r="E37" s="16" t="s">
        <v>118</v>
      </c>
    </row>
    <row r="38" customFormat="false" ht="16.5" hidden="false" customHeight="true" outlineLevel="0" collapsed="false">
      <c r="A38" s="7" t="n">
        <v>37</v>
      </c>
      <c r="B38" s="16" t="s">
        <v>1015</v>
      </c>
      <c r="C38" s="16" t="s">
        <v>1016</v>
      </c>
      <c r="D38" s="16" t="s">
        <v>752</v>
      </c>
      <c r="E38" s="16" t="s">
        <v>751</v>
      </c>
    </row>
    <row r="39" customFormat="false" ht="16.5" hidden="false" customHeight="true" outlineLevel="0" collapsed="false">
      <c r="A39" s="7" t="n">
        <v>38</v>
      </c>
      <c r="B39" s="16" t="s">
        <v>1017</v>
      </c>
      <c r="C39" s="16" t="s">
        <v>1018</v>
      </c>
      <c r="D39" s="16" t="s">
        <v>771</v>
      </c>
      <c r="E39" s="16" t="s">
        <v>770</v>
      </c>
    </row>
    <row r="40" customFormat="false" ht="16.5" hidden="false" customHeight="true" outlineLevel="0" collapsed="false">
      <c r="A40" s="7" t="n">
        <v>39</v>
      </c>
      <c r="B40" s="16" t="s">
        <v>1019</v>
      </c>
      <c r="C40" s="16" t="s">
        <v>1018</v>
      </c>
      <c r="D40" s="16" t="s">
        <v>767</v>
      </c>
      <c r="E40" s="16" t="s">
        <v>766</v>
      </c>
    </row>
    <row r="41" customFormat="false" ht="16.5" hidden="false" customHeight="true" outlineLevel="0" collapsed="false">
      <c r="A41" s="7" t="n">
        <v>40</v>
      </c>
      <c r="B41" s="16" t="s">
        <v>1020</v>
      </c>
      <c r="C41" s="16" t="s">
        <v>1018</v>
      </c>
      <c r="D41" s="16" t="s">
        <v>771</v>
      </c>
      <c r="E41" s="16" t="s">
        <v>770</v>
      </c>
    </row>
    <row r="42" customFormat="false" ht="16.5" hidden="false" customHeight="true" outlineLevel="0" collapsed="false">
      <c r="A42" s="7" t="n">
        <v>41</v>
      </c>
      <c r="B42" s="16" t="s">
        <v>1021</v>
      </c>
      <c r="C42" s="16" t="s">
        <v>1018</v>
      </c>
      <c r="D42" s="16" t="s">
        <v>758</v>
      </c>
      <c r="E42" s="16" t="s">
        <v>757</v>
      </c>
    </row>
    <row r="43" customFormat="false" ht="16.5" hidden="false" customHeight="true" outlineLevel="0" collapsed="false">
      <c r="A43" s="7" t="n">
        <v>42</v>
      </c>
      <c r="B43" s="16" t="s">
        <v>1022</v>
      </c>
      <c r="C43" s="16" t="s">
        <v>1018</v>
      </c>
      <c r="D43" s="16" t="s">
        <v>748</v>
      </c>
      <c r="E43" s="16" t="s">
        <v>747</v>
      </c>
    </row>
    <row r="44" customFormat="false" ht="16.5" hidden="false" customHeight="true" outlineLevel="0" collapsed="false">
      <c r="A44" s="7" t="n">
        <v>43</v>
      </c>
      <c r="B44" s="16" t="s">
        <v>1023</v>
      </c>
      <c r="C44" s="16" t="s">
        <v>1018</v>
      </c>
      <c r="D44" s="16" t="s">
        <v>763</v>
      </c>
      <c r="E44" s="16" t="s">
        <v>762</v>
      </c>
    </row>
    <row r="45" customFormat="false" ht="16.5" hidden="false" customHeight="true" outlineLevel="0" collapsed="false">
      <c r="A45" s="7" t="n">
        <v>44</v>
      </c>
      <c r="B45" s="16" t="s">
        <v>1024</v>
      </c>
      <c r="C45" s="16" t="s">
        <v>1025</v>
      </c>
      <c r="D45" s="16" t="s">
        <v>383</v>
      </c>
      <c r="E45" s="16" t="s">
        <v>382</v>
      </c>
    </row>
    <row r="46" customFormat="false" ht="16.5" hidden="false" customHeight="true" outlineLevel="0" collapsed="false">
      <c r="A46" s="7" t="n">
        <v>45</v>
      </c>
      <c r="B46" s="16" t="s">
        <v>1026</v>
      </c>
      <c r="C46" s="16" t="s">
        <v>1027</v>
      </c>
      <c r="D46" s="16" t="s">
        <v>440</v>
      </c>
      <c r="E46" s="16" t="s">
        <v>439</v>
      </c>
    </row>
    <row r="47" customFormat="false" ht="16.5" hidden="false" customHeight="true" outlineLevel="0" collapsed="false">
      <c r="A47" s="7" t="n">
        <v>46</v>
      </c>
      <c r="B47" s="16" t="s">
        <v>1028</v>
      </c>
      <c r="C47" s="16" t="s">
        <v>1029</v>
      </c>
      <c r="D47" s="16" t="s">
        <v>142</v>
      </c>
      <c r="E47" s="16" t="s">
        <v>141</v>
      </c>
    </row>
    <row r="48" customFormat="false" ht="16.5" hidden="false" customHeight="true" outlineLevel="0" collapsed="false">
      <c r="A48" s="7" t="n">
        <v>47</v>
      </c>
      <c r="B48" s="16" t="s">
        <v>1030</v>
      </c>
      <c r="C48" s="16" t="s">
        <v>1031</v>
      </c>
      <c r="D48" s="16" t="s">
        <v>279</v>
      </c>
      <c r="E48" s="16" t="s">
        <v>278</v>
      </c>
    </row>
    <row r="49" customFormat="false" ht="16.5" hidden="false" customHeight="true" outlineLevel="0" collapsed="false">
      <c r="A49" s="7" t="n">
        <v>48</v>
      </c>
      <c r="B49" s="16" t="s">
        <v>1032</v>
      </c>
      <c r="C49" s="16" t="s">
        <v>1033</v>
      </c>
      <c r="D49" s="16" t="s">
        <v>217</v>
      </c>
      <c r="E49" s="16" t="s">
        <v>216</v>
      </c>
    </row>
    <row r="50" customFormat="false" ht="16.5" hidden="false" customHeight="true" outlineLevel="0" collapsed="false">
      <c r="A50" s="7" t="n">
        <v>49</v>
      </c>
      <c r="B50" s="16" t="s">
        <v>1034</v>
      </c>
      <c r="C50" s="16" t="s">
        <v>1035</v>
      </c>
      <c r="D50" s="16" t="s">
        <v>375</v>
      </c>
      <c r="E50" s="16" t="s">
        <v>374</v>
      </c>
    </row>
    <row r="51" customFormat="false" ht="16.5" hidden="false" customHeight="true" outlineLevel="0" collapsed="false">
      <c r="A51" s="7" t="n">
        <v>50</v>
      </c>
      <c r="B51" s="16" t="s">
        <v>1036</v>
      </c>
      <c r="C51" s="16" t="s">
        <v>1037</v>
      </c>
      <c r="D51" s="16" t="s">
        <v>606</v>
      </c>
      <c r="E51" s="16" t="s">
        <v>605</v>
      </c>
    </row>
    <row r="52" customFormat="false" ht="16.5" hidden="false" customHeight="true" outlineLevel="0" collapsed="false">
      <c r="A52" s="7" t="n">
        <v>51</v>
      </c>
      <c r="B52" s="16" t="s">
        <v>1038</v>
      </c>
      <c r="C52" s="16" t="s">
        <v>1039</v>
      </c>
      <c r="D52" s="16" t="s">
        <v>670</v>
      </c>
      <c r="E52" s="16" t="s">
        <v>669</v>
      </c>
    </row>
    <row r="53" customFormat="false" ht="16.5" hidden="false" customHeight="true" outlineLevel="0" collapsed="false">
      <c r="A53" s="7" t="n">
        <v>52</v>
      </c>
      <c r="B53" s="16" t="s">
        <v>1040</v>
      </c>
      <c r="C53" s="16" t="s">
        <v>982</v>
      </c>
      <c r="D53" s="16" t="s">
        <v>566</v>
      </c>
      <c r="E53" s="16" t="s">
        <v>565</v>
      </c>
    </row>
    <row r="54" customFormat="false" ht="16.5" hidden="false" customHeight="true" outlineLevel="0" collapsed="false">
      <c r="A54" s="7" t="n">
        <v>53</v>
      </c>
      <c r="B54" s="16" t="s">
        <v>1041</v>
      </c>
      <c r="C54" s="16" t="s">
        <v>1042</v>
      </c>
      <c r="D54" s="16" t="s">
        <v>793</v>
      </c>
      <c r="E54" s="16" t="s">
        <v>792</v>
      </c>
    </row>
    <row r="55" customFormat="false" ht="16.5" hidden="false" customHeight="true" outlineLevel="0" collapsed="false">
      <c r="A55" s="7" t="n">
        <v>54</v>
      </c>
      <c r="B55" s="16" t="s">
        <v>1043</v>
      </c>
      <c r="C55" s="16" t="s">
        <v>1044</v>
      </c>
      <c r="D55" s="16" t="s">
        <v>602</v>
      </c>
      <c r="E55" s="16" t="s">
        <v>601</v>
      </c>
    </row>
    <row r="56" customFormat="false" ht="16.5" hidden="false" customHeight="true" outlineLevel="0" collapsed="false">
      <c r="A56" s="7" t="n">
        <v>55</v>
      </c>
      <c r="B56" s="16" t="s">
        <v>1045</v>
      </c>
      <c r="C56" s="16" t="s">
        <v>1046</v>
      </c>
      <c r="D56" s="16" t="s">
        <v>1047</v>
      </c>
      <c r="E56" s="16" t="s">
        <v>1048</v>
      </c>
    </row>
    <row r="57" customFormat="false" ht="16.5" hidden="false" customHeight="true" outlineLevel="0" collapsed="false">
      <c r="A57" s="7" t="n">
        <v>56</v>
      </c>
      <c r="B57" s="16" t="s">
        <v>1049</v>
      </c>
      <c r="C57" s="16" t="s">
        <v>1050</v>
      </c>
      <c r="D57" s="16" t="s">
        <v>913</v>
      </c>
      <c r="E57" s="16" t="s">
        <v>912</v>
      </c>
    </row>
    <row r="58" customFormat="false" ht="16.5" hidden="false" customHeight="true" outlineLevel="0" collapsed="false">
      <c r="A58" s="7" t="n">
        <v>57</v>
      </c>
      <c r="B58" s="16" t="s">
        <v>1051</v>
      </c>
      <c r="C58" s="16" t="s">
        <v>1052</v>
      </c>
      <c r="D58" s="16" t="s">
        <v>554</v>
      </c>
      <c r="E58" s="16" t="s">
        <v>553</v>
      </c>
    </row>
    <row r="59" customFormat="false" ht="16.5" hidden="false" customHeight="true" outlineLevel="0" collapsed="false">
      <c r="A59" s="7" t="n">
        <v>58</v>
      </c>
      <c r="B59" s="16" t="s">
        <v>1053</v>
      </c>
      <c r="C59" s="16" t="s">
        <v>1054</v>
      </c>
      <c r="D59" s="16" t="s">
        <v>538</v>
      </c>
      <c r="E59" s="16" t="s">
        <v>537</v>
      </c>
    </row>
    <row r="60" customFormat="false" ht="16.5" hidden="false" customHeight="true" outlineLevel="0" collapsed="false">
      <c r="A60" s="7" t="n">
        <v>59</v>
      </c>
      <c r="B60" s="16" t="s">
        <v>1055</v>
      </c>
      <c r="C60" s="16" t="s">
        <v>1056</v>
      </c>
      <c r="D60" s="16" t="s">
        <v>468</v>
      </c>
      <c r="E60" s="16" t="s">
        <v>467</v>
      </c>
    </row>
    <row r="61" customFormat="false" ht="16.5" hidden="false" customHeight="true" outlineLevel="0" collapsed="false">
      <c r="A61" s="7" t="n">
        <v>60</v>
      </c>
      <c r="B61" s="16" t="s">
        <v>1057</v>
      </c>
      <c r="C61" s="16" t="s">
        <v>1058</v>
      </c>
      <c r="D61" s="16" t="s">
        <v>235</v>
      </c>
      <c r="E61" s="16" t="s">
        <v>234</v>
      </c>
    </row>
    <row r="62" customFormat="false" ht="16.5" hidden="false" customHeight="true" outlineLevel="0" collapsed="false">
      <c r="A62" s="7" t="n">
        <v>61</v>
      </c>
      <c r="B62" s="16" t="s">
        <v>1059</v>
      </c>
      <c r="C62" s="16" t="s">
        <v>1056</v>
      </c>
      <c r="D62" s="16" t="s">
        <v>733</v>
      </c>
      <c r="E62" s="16" t="s">
        <v>732</v>
      </c>
    </row>
    <row r="63" customFormat="false" ht="16.5" hidden="false" customHeight="true" outlineLevel="0" collapsed="false">
      <c r="A63" s="7" t="n">
        <v>62</v>
      </c>
      <c r="B63" s="16" t="s">
        <v>1060</v>
      </c>
      <c r="C63" s="16" t="s">
        <v>1061</v>
      </c>
      <c r="D63" s="16" t="s">
        <v>702</v>
      </c>
      <c r="E63" s="16" t="s">
        <v>701</v>
      </c>
    </row>
    <row r="64" customFormat="false" ht="16.5" hidden="false" customHeight="true" outlineLevel="0" collapsed="false">
      <c r="A64" s="7" t="n">
        <v>63</v>
      </c>
      <c r="B64" s="16" t="s">
        <v>1062</v>
      </c>
      <c r="C64" s="16" t="s">
        <v>1063</v>
      </c>
      <c r="D64" s="16" t="s">
        <v>645</v>
      </c>
      <c r="E64" s="16" t="s">
        <v>644</v>
      </c>
    </row>
    <row r="65" customFormat="false" ht="16.5" hidden="false" customHeight="true" outlineLevel="0" collapsed="false">
      <c r="A65" s="7" t="n">
        <v>64</v>
      </c>
      <c r="B65" s="16" t="s">
        <v>1064</v>
      </c>
      <c r="C65" s="16" t="s">
        <v>1065</v>
      </c>
      <c r="D65" s="16" t="s">
        <v>886</v>
      </c>
      <c r="E65" s="16" t="s">
        <v>885</v>
      </c>
    </row>
    <row r="66" customFormat="false" ht="16.5" hidden="false" customHeight="true" outlineLevel="0" collapsed="false">
      <c r="A66" s="7" t="n">
        <v>65</v>
      </c>
      <c r="B66" s="16" t="s">
        <v>1066</v>
      </c>
      <c r="C66" s="16" t="s">
        <v>1067</v>
      </c>
      <c r="D66" s="16" t="s">
        <v>362</v>
      </c>
      <c r="E66" s="16" t="s">
        <v>361</v>
      </c>
    </row>
    <row r="67" customFormat="false" ht="16.5" hidden="false" customHeight="true" outlineLevel="0" collapsed="false">
      <c r="A67" s="7" t="n">
        <v>66</v>
      </c>
      <c r="B67" s="16" t="s">
        <v>1068</v>
      </c>
      <c r="C67" s="16" t="s">
        <v>1069</v>
      </c>
      <c r="D67" s="16" t="s">
        <v>157</v>
      </c>
      <c r="E67" s="16" t="s">
        <v>156</v>
      </c>
    </row>
    <row r="68" customFormat="false" ht="16.5" hidden="false" customHeight="true" outlineLevel="0" collapsed="false">
      <c r="A68" s="7" t="n">
        <v>67</v>
      </c>
      <c r="B68" s="16" t="s">
        <v>1070</v>
      </c>
      <c r="C68" s="16" t="s">
        <v>1071</v>
      </c>
      <c r="D68" s="16" t="s">
        <v>717</v>
      </c>
      <c r="E68" s="16" t="s">
        <v>716</v>
      </c>
    </row>
    <row r="69" customFormat="false" ht="16.5" hidden="false" customHeight="true" outlineLevel="0" collapsed="false">
      <c r="A69" s="7" t="n">
        <v>68</v>
      </c>
      <c r="B69" s="16" t="s">
        <v>1072</v>
      </c>
      <c r="C69" s="16" t="s">
        <v>1073</v>
      </c>
      <c r="D69" s="16" t="s">
        <v>445</v>
      </c>
      <c r="E69" s="16" t="s">
        <v>444</v>
      </c>
    </row>
    <row r="70" customFormat="false" ht="16.5" hidden="false" customHeight="true" outlineLevel="0" collapsed="false">
      <c r="A70" s="7" t="n">
        <v>69</v>
      </c>
      <c r="B70" s="16" t="s">
        <v>1074</v>
      </c>
      <c r="C70" s="16" t="s">
        <v>1075</v>
      </c>
      <c r="D70" s="16" t="s">
        <v>530</v>
      </c>
      <c r="E70" s="16" t="s">
        <v>529</v>
      </c>
    </row>
    <row r="71" customFormat="false" ht="16.5" hidden="false" customHeight="true" outlineLevel="0" collapsed="false">
      <c r="A71" s="7" t="n">
        <v>70</v>
      </c>
      <c r="B71" s="16" t="s">
        <v>1076</v>
      </c>
      <c r="C71" s="16" t="s">
        <v>1077</v>
      </c>
      <c r="D71" s="16" t="s">
        <v>379</v>
      </c>
      <c r="E71" s="16" t="s">
        <v>378</v>
      </c>
    </row>
    <row r="72" customFormat="false" ht="16.5" hidden="false" customHeight="true" outlineLevel="0" collapsed="false">
      <c r="A72" s="7" t="n">
        <v>71</v>
      </c>
      <c r="B72" s="16" t="s">
        <v>1078</v>
      </c>
      <c r="C72" s="16" t="s">
        <v>1079</v>
      </c>
      <c r="D72" s="16" t="s">
        <v>328</v>
      </c>
      <c r="E72" s="16" t="s">
        <v>327</v>
      </c>
    </row>
    <row r="73" customFormat="false" ht="16.5" hidden="false" customHeight="true" outlineLevel="0" collapsed="false">
      <c r="A73" s="7" t="n">
        <v>72</v>
      </c>
      <c r="B73" s="16" t="s">
        <v>1080</v>
      </c>
      <c r="C73" s="16" t="s">
        <v>1081</v>
      </c>
      <c r="D73" s="16" t="s">
        <v>328</v>
      </c>
      <c r="E73" s="16" t="s">
        <v>327</v>
      </c>
    </row>
    <row r="74" customFormat="false" ht="16.5" hidden="false" customHeight="true" outlineLevel="0" collapsed="false">
      <c r="A74" s="7" t="n">
        <v>73</v>
      </c>
      <c r="B74" s="16" t="s">
        <v>1082</v>
      </c>
      <c r="C74" s="16" t="s">
        <v>956</v>
      </c>
      <c r="D74" s="16" t="s">
        <v>570</v>
      </c>
      <c r="E74" s="16" t="s">
        <v>569</v>
      </c>
    </row>
    <row r="75" customFormat="false" ht="16.5" hidden="false" customHeight="true" outlineLevel="0" collapsed="false">
      <c r="A75" s="7" t="n">
        <v>74</v>
      </c>
      <c r="B75" s="16" t="s">
        <v>1083</v>
      </c>
      <c r="C75" s="16" t="s">
        <v>1084</v>
      </c>
      <c r="D75" s="16" t="s">
        <v>574</v>
      </c>
      <c r="E75" s="16" t="s">
        <v>573</v>
      </c>
    </row>
    <row r="76" customFormat="false" ht="16.5" hidden="false" customHeight="true" outlineLevel="0" collapsed="false">
      <c r="A76" s="7" t="n">
        <v>75</v>
      </c>
      <c r="B76" s="16" t="s">
        <v>1085</v>
      </c>
      <c r="C76" s="16" t="s">
        <v>1073</v>
      </c>
      <c r="D76" s="16" t="s">
        <v>161</v>
      </c>
      <c r="E76" s="16" t="s">
        <v>160</v>
      </c>
    </row>
    <row r="77" customFormat="false" ht="16.5" hidden="false" customHeight="true" outlineLevel="0" collapsed="false">
      <c r="A77" s="7" t="n">
        <v>76</v>
      </c>
      <c r="B77" s="16" t="s">
        <v>1086</v>
      </c>
      <c r="C77" s="16" t="s">
        <v>1087</v>
      </c>
      <c r="D77" s="16" t="s">
        <v>610</v>
      </c>
      <c r="E77" s="16" t="s">
        <v>609</v>
      </c>
    </row>
    <row r="78" customFormat="false" ht="16.5" hidden="false" customHeight="true" outlineLevel="0" collapsed="false">
      <c r="A78" s="7" t="n">
        <v>77</v>
      </c>
      <c r="B78" s="16" t="s">
        <v>1088</v>
      </c>
      <c r="C78" s="16" t="s">
        <v>1089</v>
      </c>
      <c r="D78" s="16" t="s">
        <v>694</v>
      </c>
      <c r="E78" s="16" t="s">
        <v>693</v>
      </c>
    </row>
    <row r="79" customFormat="false" ht="16.5" hidden="false" customHeight="true" outlineLevel="0" collapsed="false">
      <c r="A79" s="7" t="n">
        <v>78</v>
      </c>
      <c r="B79" s="16" t="s">
        <v>1090</v>
      </c>
      <c r="C79" s="16" t="s">
        <v>1091</v>
      </c>
      <c r="D79" s="16" t="s">
        <v>891</v>
      </c>
      <c r="E79" s="16" t="s">
        <v>890</v>
      </c>
    </row>
    <row r="80" customFormat="false" ht="16.5" hidden="false" customHeight="true" outlineLevel="0" collapsed="false">
      <c r="A80" s="7" t="n">
        <v>79</v>
      </c>
      <c r="B80" s="16" t="s">
        <v>1092</v>
      </c>
      <c r="C80" s="16" t="s">
        <v>1093</v>
      </c>
      <c r="D80" s="16" t="s">
        <v>706</v>
      </c>
      <c r="E80" s="16" t="s">
        <v>705</v>
      </c>
    </row>
    <row r="81" customFormat="false" ht="16.5" hidden="false" customHeight="true" outlineLevel="0" collapsed="false">
      <c r="A81" s="7" t="n">
        <v>80</v>
      </c>
      <c r="B81" s="16" t="s">
        <v>1094</v>
      </c>
      <c r="C81" s="16" t="s">
        <v>1095</v>
      </c>
      <c r="D81" s="16" t="s">
        <v>900</v>
      </c>
      <c r="E81" s="16" t="s">
        <v>899</v>
      </c>
    </row>
    <row r="82" customFormat="false" ht="16.5" hidden="false" customHeight="true" outlineLevel="0" collapsed="false">
      <c r="A82" s="7" t="n">
        <v>81</v>
      </c>
      <c r="B82" s="16" t="s">
        <v>1096</v>
      </c>
      <c r="C82" s="16" t="s">
        <v>998</v>
      </c>
      <c r="D82" s="16" t="s">
        <v>558</v>
      </c>
      <c r="E82" s="16" t="s">
        <v>557</v>
      </c>
    </row>
    <row r="83" customFormat="false" ht="16.5" hidden="false" customHeight="true" outlineLevel="0" collapsed="false">
      <c r="A83" s="7" t="n">
        <v>82</v>
      </c>
      <c r="B83" s="16" t="s">
        <v>1097</v>
      </c>
      <c r="C83" s="16" t="s">
        <v>1098</v>
      </c>
      <c r="D83" s="16" t="s">
        <v>550</v>
      </c>
      <c r="E83" s="16" t="s">
        <v>549</v>
      </c>
    </row>
    <row r="84" customFormat="false" ht="16.5" hidden="false" customHeight="true" outlineLevel="0" collapsed="false">
      <c r="A84" s="7" t="n">
        <v>83</v>
      </c>
      <c r="B84" s="16" t="s">
        <v>1099</v>
      </c>
      <c r="C84" s="16" t="s">
        <v>1100</v>
      </c>
      <c r="D84" s="16" t="s">
        <v>641</v>
      </c>
      <c r="E84" s="16" t="s">
        <v>640</v>
      </c>
    </row>
    <row r="85" customFormat="false" ht="16.5" hidden="false" customHeight="true" outlineLevel="0" collapsed="false">
      <c r="A85" s="7" t="n">
        <v>84</v>
      </c>
      <c r="B85" s="16" t="s">
        <v>1101</v>
      </c>
      <c r="C85" s="16" t="s">
        <v>1102</v>
      </c>
      <c r="D85" s="16" t="s">
        <v>657</v>
      </c>
      <c r="E85" s="16" t="s">
        <v>656</v>
      </c>
    </row>
    <row r="86" customFormat="false" ht="16.5" hidden="false" customHeight="true" outlineLevel="0" collapsed="false">
      <c r="A86" s="7" t="n">
        <v>85</v>
      </c>
      <c r="B86" s="16" t="s">
        <v>1103</v>
      </c>
      <c r="C86" s="16" t="s">
        <v>1102</v>
      </c>
      <c r="D86" s="16" t="s">
        <v>662</v>
      </c>
      <c r="E86" s="16" t="s">
        <v>661</v>
      </c>
    </row>
    <row r="87" customFormat="false" ht="16.5" hidden="false" customHeight="true" outlineLevel="0" collapsed="false">
      <c r="A87" s="7" t="n">
        <v>86</v>
      </c>
      <c r="B87" s="16" t="s">
        <v>1104</v>
      </c>
      <c r="C87" s="16" t="s">
        <v>1102</v>
      </c>
      <c r="D87" s="16" t="s">
        <v>666</v>
      </c>
      <c r="E87" s="16" t="s">
        <v>665</v>
      </c>
    </row>
    <row r="88" customFormat="false" ht="16.5" hidden="false" customHeight="true" outlineLevel="0" collapsed="false">
      <c r="A88" s="7" t="n">
        <v>87</v>
      </c>
      <c r="B88" s="16" t="s">
        <v>1105</v>
      </c>
      <c r="C88" s="16" t="s">
        <v>970</v>
      </c>
      <c r="D88" s="16" t="s">
        <v>453</v>
      </c>
      <c r="E88" s="16" t="s">
        <v>452</v>
      </c>
    </row>
    <row r="89" customFormat="false" ht="16.5" hidden="false" customHeight="true" outlineLevel="0" collapsed="false">
      <c r="A89" s="7" t="n">
        <v>88</v>
      </c>
      <c r="B89" s="16" t="s">
        <v>1106</v>
      </c>
      <c r="C89" s="16" t="s">
        <v>1107</v>
      </c>
      <c r="D89" s="16" t="s">
        <v>56</v>
      </c>
      <c r="E89" s="16" t="s">
        <v>55</v>
      </c>
    </row>
    <row r="90" customFormat="false" ht="16.5" hidden="false" customHeight="true" outlineLevel="0" collapsed="false">
      <c r="A90" s="7" t="n">
        <v>89</v>
      </c>
      <c r="B90" s="16" t="s">
        <v>1108</v>
      </c>
      <c r="C90" s="16" t="s">
        <v>1107</v>
      </c>
      <c r="D90" s="16" t="s">
        <v>180</v>
      </c>
      <c r="E90" s="16" t="s">
        <v>179</v>
      </c>
    </row>
    <row r="91" customFormat="false" ht="16.5" hidden="false" customHeight="true" outlineLevel="0" collapsed="false">
      <c r="A91" s="7" t="n">
        <v>90</v>
      </c>
      <c r="B91" s="16" t="s">
        <v>1109</v>
      </c>
      <c r="C91" s="16" t="s">
        <v>1110</v>
      </c>
      <c r="D91" s="16" t="s">
        <v>506</v>
      </c>
      <c r="E91" s="16" t="s">
        <v>505</v>
      </c>
    </row>
    <row r="92" customFormat="false" ht="16.5" hidden="false" customHeight="true" outlineLevel="0" collapsed="false">
      <c r="A92" s="7" t="n">
        <v>91</v>
      </c>
      <c r="B92" s="16" t="s">
        <v>1111</v>
      </c>
      <c r="C92" s="16" t="s">
        <v>978</v>
      </c>
      <c r="D92" s="16" t="s">
        <v>682</v>
      </c>
      <c r="E92" s="16" t="s">
        <v>681</v>
      </c>
    </row>
    <row r="93" customFormat="false" ht="16.5" hidden="false" customHeight="true" outlineLevel="0" collapsed="false">
      <c r="A93" s="7" t="n">
        <v>92</v>
      </c>
      <c r="B93" s="16" t="s">
        <v>1112</v>
      </c>
      <c r="C93" s="16" t="s">
        <v>1113</v>
      </c>
      <c r="D93" s="16" t="s">
        <v>653</v>
      </c>
      <c r="E93" s="16" t="s">
        <v>652</v>
      </c>
    </row>
    <row r="94" customFormat="false" ht="16.5" hidden="false" customHeight="true" outlineLevel="0" collapsed="false">
      <c r="A94" s="7" t="n">
        <v>93</v>
      </c>
      <c r="B94" s="16" t="s">
        <v>1114</v>
      </c>
      <c r="C94" s="16" t="s">
        <v>1115</v>
      </c>
      <c r="D94" s="16" t="s">
        <v>70</v>
      </c>
      <c r="E94" s="16" t="s">
        <v>69</v>
      </c>
    </row>
    <row r="95" customFormat="false" ht="16.5" hidden="false" customHeight="true" outlineLevel="0" collapsed="false">
      <c r="A95" s="7" t="n">
        <v>94</v>
      </c>
      <c r="B95" s="16" t="s">
        <v>1116</v>
      </c>
      <c r="C95" s="16" t="s">
        <v>1033</v>
      </c>
      <c r="D95" s="16" t="s">
        <v>304</v>
      </c>
      <c r="E95" s="16" t="s">
        <v>303</v>
      </c>
    </row>
    <row r="96" customFormat="false" ht="16.5" hidden="false" customHeight="true" outlineLevel="0" collapsed="false">
      <c r="A96" s="7" t="n">
        <v>95</v>
      </c>
      <c r="B96" s="16" t="s">
        <v>1117</v>
      </c>
      <c r="C96" s="16" t="s">
        <v>1118</v>
      </c>
      <c r="D96" s="16" t="s">
        <v>230</v>
      </c>
      <c r="E96" s="16" t="s">
        <v>229</v>
      </c>
    </row>
    <row r="97" customFormat="false" ht="30" hidden="false" customHeight="true" outlineLevel="0" collapsed="false">
      <c r="A97" s="7" t="n">
        <v>96</v>
      </c>
      <c r="B97" s="16" t="s">
        <v>1119</v>
      </c>
      <c r="C97" s="16" t="s">
        <v>1120</v>
      </c>
      <c r="D97" s="16" t="s">
        <v>542</v>
      </c>
      <c r="E97" s="16" t="s">
        <v>541</v>
      </c>
    </row>
    <row r="98" customFormat="false" ht="30" hidden="false" customHeight="true" outlineLevel="0" collapsed="false">
      <c r="A98" s="7" t="n">
        <v>97</v>
      </c>
      <c r="B98" s="16" t="s">
        <v>1121</v>
      </c>
      <c r="C98" s="16" t="s">
        <v>1122</v>
      </c>
      <c r="D98" s="16" t="s">
        <v>614</v>
      </c>
      <c r="E98" s="16" t="s">
        <v>613</v>
      </c>
    </row>
    <row r="99" customFormat="false" ht="16.5" hidden="false" customHeight="true" outlineLevel="0" collapsed="false">
      <c r="A99" s="7" t="n">
        <v>98</v>
      </c>
      <c r="B99" s="16" t="s">
        <v>1123</v>
      </c>
      <c r="C99" s="16" t="s">
        <v>1107</v>
      </c>
      <c r="D99" s="16" t="s">
        <v>209</v>
      </c>
      <c r="E99" s="16" t="s">
        <v>208</v>
      </c>
    </row>
    <row r="100" customFormat="false" ht="16.5" hidden="false" customHeight="true" outlineLevel="0" collapsed="false">
      <c r="A100" s="7" t="n">
        <v>99</v>
      </c>
      <c r="B100" s="16" t="s">
        <v>1124</v>
      </c>
      <c r="C100" s="16" t="s">
        <v>1125</v>
      </c>
      <c r="D100" s="16" t="s">
        <v>748</v>
      </c>
      <c r="E100" s="16" t="s">
        <v>747</v>
      </c>
    </row>
    <row r="101" customFormat="false" ht="16.5" hidden="false" customHeight="true" outlineLevel="0" collapsed="false">
      <c r="A101" s="7" t="n">
        <v>100</v>
      </c>
      <c r="B101" s="16" t="s">
        <v>1126</v>
      </c>
      <c r="C101" s="16" t="s">
        <v>1127</v>
      </c>
      <c r="D101" s="16" t="s">
        <v>798</v>
      </c>
      <c r="E101" s="16" t="s">
        <v>797</v>
      </c>
    </row>
    <row r="102" customFormat="false" ht="16.5" hidden="false" customHeight="true" outlineLevel="0" collapsed="false">
      <c r="A102" s="7" t="n">
        <v>101</v>
      </c>
      <c r="B102" s="16" t="s">
        <v>1128</v>
      </c>
      <c r="C102" s="16" t="s">
        <v>1129</v>
      </c>
      <c r="D102" s="16" t="s">
        <v>878</v>
      </c>
      <c r="E102" s="16" t="s">
        <v>877</v>
      </c>
    </row>
    <row r="103" customFormat="false" ht="16.5" hidden="false" customHeight="true" outlineLevel="0" collapsed="false">
      <c r="A103" s="7" t="n">
        <v>102</v>
      </c>
      <c r="B103" s="16" t="s">
        <v>1130</v>
      </c>
      <c r="C103" s="16" t="s">
        <v>1131</v>
      </c>
      <c r="D103" s="16" t="s">
        <v>802</v>
      </c>
      <c r="E103" s="16" t="s">
        <v>801</v>
      </c>
    </row>
    <row r="104" customFormat="false" ht="16.5" hidden="false" customHeight="true" outlineLevel="0" collapsed="false">
      <c r="A104" s="7" t="n">
        <v>103</v>
      </c>
      <c r="B104" s="16" t="s">
        <v>1132</v>
      </c>
      <c r="C104" s="16" t="s">
        <v>1133</v>
      </c>
      <c r="D104" s="16" t="s">
        <v>868</v>
      </c>
      <c r="E104" s="16" t="s">
        <v>867</v>
      </c>
    </row>
    <row r="105" customFormat="false" ht="30" hidden="false" customHeight="true" outlineLevel="0" collapsed="false">
      <c r="A105" s="7" t="n">
        <v>104</v>
      </c>
      <c r="B105" s="16" t="s">
        <v>1134</v>
      </c>
      <c r="C105" s="16" t="s">
        <v>1107</v>
      </c>
      <c r="D105" s="16" t="s">
        <v>194</v>
      </c>
      <c r="E105" s="16" t="s">
        <v>193</v>
      </c>
    </row>
    <row r="106" customFormat="false" ht="16.5" hidden="false" customHeight="true" outlineLevel="0" collapsed="false">
      <c r="A106" s="7" t="n">
        <v>105</v>
      </c>
      <c r="B106" s="16" t="s">
        <v>1135</v>
      </c>
      <c r="C106" s="16" t="s">
        <v>1136</v>
      </c>
      <c r="D106" s="16" t="s">
        <v>863</v>
      </c>
      <c r="E106" s="16" t="s">
        <v>862</v>
      </c>
    </row>
    <row r="107" customFormat="false" ht="30" hidden="false" customHeight="true" outlineLevel="0" collapsed="false">
      <c r="A107" s="7" t="n">
        <v>106</v>
      </c>
      <c r="B107" s="16" t="s">
        <v>1137</v>
      </c>
      <c r="C107" s="16" t="s">
        <v>1138</v>
      </c>
      <c r="D107" s="16" t="s">
        <v>825</v>
      </c>
      <c r="E107" s="16" t="s">
        <v>824</v>
      </c>
    </row>
    <row r="108" customFormat="false" ht="16.5" hidden="false" customHeight="true" outlineLevel="0" collapsed="false">
      <c r="A108" s="7" t="n">
        <v>107</v>
      </c>
      <c r="B108" s="16" t="s">
        <v>1139</v>
      </c>
      <c r="C108" s="16" t="s">
        <v>1140</v>
      </c>
      <c r="D108" s="16" t="s">
        <v>1141</v>
      </c>
      <c r="E108" s="16" t="s">
        <v>1142</v>
      </c>
    </row>
    <row r="109" customFormat="false" ht="16.5" hidden="false" customHeight="true" outlineLevel="0" collapsed="false">
      <c r="A109" s="7" t="n">
        <v>108</v>
      </c>
      <c r="B109" s="16" t="s">
        <v>1143</v>
      </c>
      <c r="C109" s="16" t="s">
        <v>970</v>
      </c>
      <c r="D109" s="16" t="s">
        <v>185</v>
      </c>
      <c r="E109" s="16" t="s">
        <v>184</v>
      </c>
    </row>
    <row r="110" customFormat="false" ht="30" hidden="false" customHeight="true" outlineLevel="0" collapsed="false">
      <c r="A110" s="7" t="n">
        <v>109</v>
      </c>
      <c r="B110" s="16" t="s">
        <v>1144</v>
      </c>
      <c r="C110" s="16" t="s">
        <v>1145</v>
      </c>
      <c r="D110" s="16" t="s">
        <v>721</v>
      </c>
      <c r="E110" s="16" t="s">
        <v>720</v>
      </c>
    </row>
    <row r="111" customFormat="false" ht="16.5" hidden="false" customHeight="true" outlineLevel="0" collapsed="false">
      <c r="A111" s="7" t="n">
        <v>110</v>
      </c>
      <c r="B111" s="16" t="s">
        <v>1146</v>
      </c>
      <c r="C111" s="16" t="s">
        <v>1147</v>
      </c>
      <c r="D111" s="16" t="s">
        <v>394</v>
      </c>
      <c r="E111" s="16" t="s">
        <v>393</v>
      </c>
    </row>
    <row r="112" customFormat="false" ht="16.5" hidden="false" customHeight="true" outlineLevel="0" collapsed="false">
      <c r="A112" s="7" t="n">
        <v>111</v>
      </c>
      <c r="B112" s="16" t="s">
        <v>1148</v>
      </c>
      <c r="C112" s="16" t="s">
        <v>1149</v>
      </c>
      <c r="D112" s="16" t="s">
        <v>415</v>
      </c>
      <c r="E112" s="16" t="s">
        <v>414</v>
      </c>
    </row>
    <row r="113" customFormat="false" ht="16.5" hidden="false" customHeight="true" outlineLevel="0" collapsed="false">
      <c r="A113" s="7" t="n">
        <v>112</v>
      </c>
      <c r="B113" s="16" t="s">
        <v>1150</v>
      </c>
      <c r="C113" s="16" t="s">
        <v>1151</v>
      </c>
      <c r="D113" s="16" t="s">
        <v>534</v>
      </c>
      <c r="E113" s="16" t="s">
        <v>533</v>
      </c>
    </row>
    <row r="114" customFormat="false" ht="16.5" hidden="false" customHeight="true" outlineLevel="0" collapsed="false">
      <c r="A114" s="7" t="n">
        <v>113</v>
      </c>
      <c r="B114" s="16" t="s">
        <v>1152</v>
      </c>
      <c r="C114" s="16" t="s">
        <v>1153</v>
      </c>
      <c r="D114" s="16" t="s">
        <v>358</v>
      </c>
      <c r="E114" s="16" t="s">
        <v>357</v>
      </c>
    </row>
    <row r="115" customFormat="false" ht="30" hidden="false" customHeight="true" outlineLevel="0" collapsed="false">
      <c r="A115" s="7" t="n">
        <v>114</v>
      </c>
      <c r="B115" s="16" t="s">
        <v>1154</v>
      </c>
      <c r="C115" s="16" t="s">
        <v>1155</v>
      </c>
      <c r="D115" s="16" t="s">
        <v>269</v>
      </c>
      <c r="E115" s="16" t="s">
        <v>268</v>
      </c>
    </row>
    <row r="116" customFormat="false" ht="16.5" hidden="false" customHeight="true" outlineLevel="0" collapsed="false">
      <c r="A116" s="7" t="n">
        <v>115</v>
      </c>
      <c r="B116" s="16" t="s">
        <v>1156</v>
      </c>
      <c r="C116" s="16" t="s">
        <v>1157</v>
      </c>
      <c r="D116" s="16" t="s">
        <v>849</v>
      </c>
      <c r="E116" s="16" t="s">
        <v>848</v>
      </c>
    </row>
    <row r="117" customFormat="false" ht="16.5" hidden="false" customHeight="true" outlineLevel="0" collapsed="false">
      <c r="A117" s="7" t="n">
        <v>116</v>
      </c>
      <c r="B117" s="16" t="s">
        <v>1158</v>
      </c>
      <c r="C117" s="16" t="s">
        <v>1159</v>
      </c>
      <c r="D117" s="16" t="s">
        <v>243</v>
      </c>
      <c r="E117" s="16" t="s">
        <v>242</v>
      </c>
    </row>
    <row r="118" customFormat="false" ht="16.5" hidden="false" customHeight="true" outlineLevel="0" collapsed="false">
      <c r="A118" s="7" t="n">
        <v>117</v>
      </c>
      <c r="B118" s="16" t="s">
        <v>1160</v>
      </c>
      <c r="C118" s="16" t="s">
        <v>1159</v>
      </c>
      <c r="D118" s="16" t="s">
        <v>829</v>
      </c>
      <c r="E118" s="16" t="s">
        <v>828</v>
      </c>
    </row>
    <row r="119" customFormat="false" ht="16.5" hidden="false" customHeight="true" outlineLevel="0" collapsed="false">
      <c r="A119" s="7" t="n">
        <v>118</v>
      </c>
      <c r="B119" s="16" t="s">
        <v>1161</v>
      </c>
      <c r="C119" s="16" t="s">
        <v>1159</v>
      </c>
      <c r="D119" s="16" t="s">
        <v>702</v>
      </c>
      <c r="E119" s="16" t="s">
        <v>701</v>
      </c>
    </row>
    <row r="120" customFormat="false" ht="16.5" hidden="false" customHeight="true" outlineLevel="0" collapsed="false">
      <c r="A120" s="7" t="n">
        <v>119</v>
      </c>
      <c r="B120" s="16" t="s">
        <v>1162</v>
      </c>
      <c r="C120" s="16" t="s">
        <v>1163</v>
      </c>
      <c r="D120" s="16" t="s">
        <v>308</v>
      </c>
      <c r="E120" s="16" t="s">
        <v>307</v>
      </c>
    </row>
    <row r="121" customFormat="false" ht="16.5" hidden="false" customHeight="true" outlineLevel="0" collapsed="false">
      <c r="A121" s="7" t="n">
        <v>120</v>
      </c>
      <c r="B121" s="16" t="s">
        <v>1164</v>
      </c>
      <c r="C121" s="16" t="s">
        <v>1165</v>
      </c>
      <c r="D121" s="16" t="s">
        <v>518</v>
      </c>
      <c r="E121" s="16" t="s">
        <v>517</v>
      </c>
    </row>
    <row r="122" customFormat="false" ht="30" hidden="false" customHeight="true" outlineLevel="0" collapsed="false">
      <c r="A122" s="7" t="n">
        <v>121</v>
      </c>
      <c r="B122" s="16" t="s">
        <v>1166</v>
      </c>
      <c r="C122" s="16" t="s">
        <v>1167</v>
      </c>
      <c r="D122" s="16" t="s">
        <v>806</v>
      </c>
      <c r="E122" s="16" t="s">
        <v>805</v>
      </c>
    </row>
    <row r="123" customFormat="false" ht="16.5" hidden="false" customHeight="true" outlineLevel="0" collapsed="false">
      <c r="A123" s="7" t="n">
        <v>122</v>
      </c>
      <c r="B123" s="16" t="s">
        <v>1168</v>
      </c>
      <c r="C123" s="16" t="s">
        <v>1169</v>
      </c>
      <c r="D123" s="16" t="s">
        <v>686</v>
      </c>
      <c r="E123" s="16" t="s">
        <v>685</v>
      </c>
    </row>
    <row r="124" customFormat="false" ht="30" hidden="false" customHeight="true" outlineLevel="0" collapsed="false">
      <c r="A124" s="7" t="n">
        <v>123</v>
      </c>
      <c r="B124" s="16" t="s">
        <v>1170</v>
      </c>
      <c r="C124" s="16" t="s">
        <v>1171</v>
      </c>
      <c r="D124" s="16" t="s">
        <v>484</v>
      </c>
      <c r="E124" s="16" t="s">
        <v>483</v>
      </c>
    </row>
    <row r="125" customFormat="false" ht="16.5" hidden="false" customHeight="true" outlineLevel="0" collapsed="false">
      <c r="A125" s="7" t="n">
        <v>124</v>
      </c>
      <c r="B125" s="16" t="s">
        <v>1172</v>
      </c>
      <c r="C125" s="16" t="s">
        <v>1173</v>
      </c>
      <c r="D125" s="16" t="s">
        <v>1174</v>
      </c>
      <c r="E125" s="16" t="s">
        <v>1175</v>
      </c>
    </row>
    <row r="126" customFormat="false" ht="16.5" hidden="false" customHeight="true" outlineLevel="0" collapsed="false">
      <c r="A126" s="7" t="n">
        <v>125</v>
      </c>
      <c r="B126" s="16" t="s">
        <v>1176</v>
      </c>
      <c r="C126" s="16" t="s">
        <v>1177</v>
      </c>
      <c r="D126" s="16" t="s">
        <v>845</v>
      </c>
      <c r="E126" s="16" t="s">
        <v>844</v>
      </c>
    </row>
    <row r="127" customFormat="false" ht="16.5" hidden="false" customHeight="true" outlineLevel="0" collapsed="false">
      <c r="A127" s="7" t="n">
        <v>126</v>
      </c>
      <c r="B127" s="16" t="s">
        <v>1178</v>
      </c>
      <c r="C127" s="16" t="s">
        <v>1179</v>
      </c>
      <c r="D127" s="16" t="s">
        <v>472</v>
      </c>
      <c r="E127" s="16" t="s">
        <v>471</v>
      </c>
    </row>
    <row r="128" customFormat="false" ht="16.5" hidden="false" customHeight="true" outlineLevel="0" collapsed="false">
      <c r="A128" s="7" t="n">
        <v>127</v>
      </c>
      <c r="B128" s="16" t="s">
        <v>1180</v>
      </c>
      <c r="C128" s="16" t="s">
        <v>1181</v>
      </c>
      <c r="D128" s="16" t="s">
        <v>744</v>
      </c>
      <c r="E128" s="16" t="s">
        <v>743</v>
      </c>
    </row>
    <row r="129" customFormat="false" ht="16.5" hidden="false" customHeight="true" outlineLevel="0" collapsed="false">
      <c r="A129" s="7" t="n">
        <v>128</v>
      </c>
      <c r="B129" s="16" t="s">
        <v>1182</v>
      </c>
      <c r="C129" s="16" t="s">
        <v>1183</v>
      </c>
      <c r="D129" s="16" t="s">
        <v>407</v>
      </c>
      <c r="E129" s="16" t="s">
        <v>406</v>
      </c>
    </row>
    <row r="130" customFormat="false" ht="16.5" hidden="false" customHeight="true" outlineLevel="0" collapsed="false">
      <c r="A130" s="7" t="n">
        <v>129</v>
      </c>
      <c r="B130" s="16" t="s">
        <v>1184</v>
      </c>
      <c r="C130" s="16" t="s">
        <v>1185</v>
      </c>
      <c r="D130" s="16" t="s">
        <v>1186</v>
      </c>
      <c r="E130" s="16" t="s">
        <v>1187</v>
      </c>
    </row>
    <row r="131" customFormat="false" ht="16.5" hidden="false" customHeight="true" outlineLevel="0" collapsed="false">
      <c r="A131" s="7" t="n">
        <v>130</v>
      </c>
      <c r="B131" s="16" t="s">
        <v>1188</v>
      </c>
      <c r="C131" s="16" t="s">
        <v>1181</v>
      </c>
      <c r="D131" s="16" t="s">
        <v>744</v>
      </c>
      <c r="E131" s="16" t="s">
        <v>743</v>
      </c>
    </row>
    <row r="132" customFormat="false" ht="16.5" hidden="false" customHeight="true" outlineLevel="0" collapsed="false">
      <c r="A132" s="7" t="n">
        <v>131</v>
      </c>
      <c r="B132" s="16" t="s">
        <v>1189</v>
      </c>
      <c r="C132" s="16" t="s">
        <v>1190</v>
      </c>
      <c r="D132" s="16" t="s">
        <v>433</v>
      </c>
      <c r="E132" s="16" t="s">
        <v>432</v>
      </c>
    </row>
    <row r="133" customFormat="false" ht="16.5" hidden="false" customHeight="true" outlineLevel="0" collapsed="false">
      <c r="A133" s="7" t="n">
        <v>132</v>
      </c>
      <c r="B133" s="16" t="s">
        <v>1191</v>
      </c>
      <c r="C133" s="16" t="s">
        <v>1192</v>
      </c>
      <c r="D133" s="16" t="s">
        <v>274</v>
      </c>
      <c r="E133" s="16" t="s">
        <v>273</v>
      </c>
    </row>
    <row r="134" customFormat="false" ht="30" hidden="false" customHeight="true" outlineLevel="0" collapsed="false">
      <c r="A134" s="7" t="n">
        <v>133</v>
      </c>
      <c r="B134" s="16" t="s">
        <v>1193</v>
      </c>
      <c r="C134" s="16" t="s">
        <v>1194</v>
      </c>
      <c r="D134" s="16" t="s">
        <v>562</v>
      </c>
      <c r="E134" s="16" t="s">
        <v>561</v>
      </c>
    </row>
    <row r="135" customFormat="false" ht="30" hidden="false" customHeight="true" outlineLevel="0" collapsed="false">
      <c r="A135" s="7" t="n">
        <v>134</v>
      </c>
      <c r="B135" s="16" t="s">
        <v>1195</v>
      </c>
      <c r="C135" s="16" t="s">
        <v>1196</v>
      </c>
      <c r="D135" s="16" t="s">
        <v>1197</v>
      </c>
      <c r="E135" s="16" t="s">
        <v>1198</v>
      </c>
    </row>
    <row r="136" customFormat="false" ht="16.5" hidden="false" customHeight="true" outlineLevel="0" collapsed="false">
      <c r="A136" s="7" t="n">
        <v>135</v>
      </c>
      <c r="B136" s="16" t="s">
        <v>1199</v>
      </c>
      <c r="C136" s="16" t="s">
        <v>1200</v>
      </c>
      <c r="D136" s="16" t="s">
        <v>99</v>
      </c>
      <c r="E136" s="16" t="s">
        <v>98</v>
      </c>
    </row>
    <row r="137" customFormat="false" ht="16.5" hidden="false" customHeight="true" outlineLevel="0" collapsed="false">
      <c r="A137" s="7" t="n">
        <v>136</v>
      </c>
      <c r="B137" s="16" t="s">
        <v>1201</v>
      </c>
      <c r="C137" s="16" t="s">
        <v>1202</v>
      </c>
      <c r="D137" s="16" t="s">
        <v>725</v>
      </c>
      <c r="E137" s="16" t="s">
        <v>724</v>
      </c>
    </row>
    <row r="138" customFormat="false" ht="16.5" hidden="false" customHeight="true" outlineLevel="0" collapsed="false">
      <c r="A138" s="7" t="n">
        <v>137</v>
      </c>
      <c r="B138" s="16" t="s">
        <v>1203</v>
      </c>
      <c r="C138" s="16" t="s">
        <v>1204</v>
      </c>
      <c r="D138" s="16" t="s">
        <v>86</v>
      </c>
      <c r="E138" s="16" t="s">
        <v>85</v>
      </c>
    </row>
    <row r="139" customFormat="false" ht="16.5" hidden="false" customHeight="true" outlineLevel="0" collapsed="false">
      <c r="A139" s="7" t="n">
        <v>138</v>
      </c>
      <c r="B139" s="16" t="s">
        <v>1205</v>
      </c>
      <c r="C139" s="16" t="s">
        <v>1206</v>
      </c>
      <c r="D139" s="16" t="s">
        <v>1207</v>
      </c>
      <c r="E139" s="16" t="s">
        <v>1208</v>
      </c>
    </row>
    <row r="140" customFormat="false" ht="16.5" hidden="false" customHeight="true" outlineLevel="0" collapsed="false">
      <c r="A140" s="7" t="n">
        <v>139</v>
      </c>
      <c r="B140" s="16" t="s">
        <v>1209</v>
      </c>
      <c r="C140" s="16" t="s">
        <v>1210</v>
      </c>
      <c r="D140" s="16" t="s">
        <v>366</v>
      </c>
      <c r="E140" s="16" t="s">
        <v>365</v>
      </c>
    </row>
    <row r="141" customFormat="false" ht="16.5" hidden="false" customHeight="true" outlineLevel="0" collapsed="false">
      <c r="A141" s="7" t="n">
        <v>140</v>
      </c>
      <c r="B141" s="16" t="s">
        <v>1211</v>
      </c>
      <c r="C141" s="16" t="s">
        <v>1212</v>
      </c>
      <c r="D141" s="16" t="s">
        <v>190</v>
      </c>
      <c r="E141" s="16" t="s">
        <v>189</v>
      </c>
    </row>
    <row r="142" customFormat="false" ht="16.5" hidden="false" customHeight="true" outlineLevel="0" collapsed="false">
      <c r="A142" s="7" t="n">
        <v>141</v>
      </c>
      <c r="B142" s="16" t="s">
        <v>1213</v>
      </c>
      <c r="C142" s="16" t="s">
        <v>1214</v>
      </c>
      <c r="D142" s="16" t="s">
        <v>717</v>
      </c>
      <c r="E142" s="16" t="s">
        <v>716</v>
      </c>
    </row>
    <row r="143" customFormat="false" ht="16.5" hidden="false" customHeight="true" outlineLevel="0" collapsed="false">
      <c r="A143" s="7" t="n">
        <v>142</v>
      </c>
      <c r="B143" s="16" t="s">
        <v>1215</v>
      </c>
      <c r="C143" s="16" t="s">
        <v>1216</v>
      </c>
      <c r="D143" s="16" t="s">
        <v>637</v>
      </c>
      <c r="E143" s="16" t="s">
        <v>636</v>
      </c>
    </row>
    <row r="144" customFormat="false" ht="30" hidden="false" customHeight="true" outlineLevel="0" collapsed="false">
      <c r="A144" s="7" t="n">
        <v>143</v>
      </c>
      <c r="B144" s="16" t="s">
        <v>1217</v>
      </c>
      <c r="C144" s="16" t="s">
        <v>1218</v>
      </c>
      <c r="D144" s="16" t="s">
        <v>606</v>
      </c>
      <c r="E144" s="16" t="s">
        <v>605</v>
      </c>
    </row>
    <row r="145" customFormat="false" ht="16.5" hidden="false" customHeight="true" outlineLevel="0" collapsed="false">
      <c r="A145" s="7" t="n">
        <v>144</v>
      </c>
      <c r="B145" s="16" t="s">
        <v>1219</v>
      </c>
      <c r="C145" s="16" t="s">
        <v>1220</v>
      </c>
      <c r="D145" s="16" t="s">
        <v>288</v>
      </c>
      <c r="E145" s="16" t="s">
        <v>287</v>
      </c>
    </row>
    <row r="146" customFormat="false" ht="30" hidden="false" customHeight="true" outlineLevel="0" collapsed="false">
      <c r="A146" s="7" t="n">
        <v>145</v>
      </c>
      <c r="B146" s="16" t="s">
        <v>1221</v>
      </c>
      <c r="C146" s="16" t="s">
        <v>1222</v>
      </c>
      <c r="D146" s="16" t="s">
        <v>476</v>
      </c>
      <c r="E146" s="16" t="s">
        <v>475</v>
      </c>
    </row>
    <row r="147" customFormat="false" ht="16.5" hidden="false" customHeight="true" outlineLevel="0" collapsed="false">
      <c r="A147" s="7" t="n">
        <v>146</v>
      </c>
      <c r="B147" s="16" t="s">
        <v>1223</v>
      </c>
      <c r="C147" s="16" t="s">
        <v>1224</v>
      </c>
      <c r="D147" s="16" t="s">
        <v>833</v>
      </c>
      <c r="E147" s="16" t="s">
        <v>832</v>
      </c>
    </row>
    <row r="148" customFormat="false" ht="16.5" hidden="false" customHeight="true" outlineLevel="0" collapsed="false">
      <c r="A148" s="7" t="n">
        <v>147</v>
      </c>
      <c r="B148" s="16" t="s">
        <v>1225</v>
      </c>
      <c r="C148" s="16" t="s">
        <v>1226</v>
      </c>
      <c r="D148" s="16" t="s">
        <v>713</v>
      </c>
      <c r="E148" s="16" t="s">
        <v>712</v>
      </c>
    </row>
    <row r="149" customFormat="false" ht="16.5" hidden="false" customHeight="true" outlineLevel="0" collapsed="false">
      <c r="A149" s="7" t="n">
        <v>148</v>
      </c>
      <c r="B149" s="16" t="s">
        <v>1227</v>
      </c>
      <c r="C149" s="16" t="s">
        <v>1228</v>
      </c>
      <c r="D149" s="16" t="s">
        <v>810</v>
      </c>
      <c r="E149" s="16" t="s">
        <v>809</v>
      </c>
    </row>
    <row r="150" customFormat="false" ht="16.5" hidden="false" customHeight="true" outlineLevel="0" collapsed="false">
      <c r="A150" s="7" t="n">
        <v>149</v>
      </c>
      <c r="B150" s="16" t="s">
        <v>1229</v>
      </c>
      <c r="C150" s="16" t="s">
        <v>1230</v>
      </c>
      <c r="D150" s="16" t="s">
        <v>175</v>
      </c>
      <c r="E150" s="16" t="s">
        <v>174</v>
      </c>
    </row>
    <row r="151" customFormat="false" ht="16.5" hidden="false" customHeight="true" outlineLevel="0" collapsed="false">
      <c r="A151" s="7" t="n">
        <v>150</v>
      </c>
      <c r="B151" s="16" t="s">
        <v>1231</v>
      </c>
      <c r="C151" s="16" t="s">
        <v>1232</v>
      </c>
      <c r="D151" s="16" t="s">
        <v>858</v>
      </c>
      <c r="E151" s="16" t="s">
        <v>857</v>
      </c>
    </row>
    <row r="152" customFormat="false" ht="16.5" hidden="false" customHeight="true" outlineLevel="0" collapsed="false">
      <c r="A152" s="7" t="n">
        <v>151</v>
      </c>
      <c r="B152" s="16" t="s">
        <v>1233</v>
      </c>
      <c r="C152" s="16" t="s">
        <v>1234</v>
      </c>
      <c r="D152" s="16" t="s">
        <v>837</v>
      </c>
      <c r="E152" s="16" t="s">
        <v>836</v>
      </c>
    </row>
    <row r="153" customFormat="false" ht="16.5" hidden="false" customHeight="true" outlineLevel="0" collapsed="false">
      <c r="A153" s="7" t="n">
        <v>152</v>
      </c>
      <c r="B153" s="16" t="s">
        <v>1235</v>
      </c>
      <c r="C153" s="16" t="s">
        <v>1236</v>
      </c>
      <c r="D153" s="16" t="s">
        <v>841</v>
      </c>
      <c r="E153" s="16" t="s">
        <v>840</v>
      </c>
    </row>
    <row r="154" customFormat="false" ht="30" hidden="false" customHeight="true" outlineLevel="0" collapsed="false">
      <c r="A154" s="7" t="n">
        <v>153</v>
      </c>
      <c r="B154" s="16" t="s">
        <v>1237</v>
      </c>
      <c r="C154" s="16" t="s">
        <v>1238</v>
      </c>
      <c r="D154" s="16" t="s">
        <v>618</v>
      </c>
      <c r="E154" s="16" t="s">
        <v>617</v>
      </c>
    </row>
    <row r="155" customFormat="false" ht="16.5" hidden="false" customHeight="true" outlineLevel="0" collapsed="false">
      <c r="A155" s="7" t="n">
        <v>154</v>
      </c>
      <c r="B155" s="16" t="s">
        <v>1239</v>
      </c>
      <c r="C155" s="16" t="s">
        <v>1240</v>
      </c>
      <c r="D155" s="16" t="s">
        <v>522</v>
      </c>
      <c r="E155" s="16" t="s">
        <v>521</v>
      </c>
    </row>
    <row r="156" customFormat="false" ht="16.5" hidden="false" customHeight="true" outlineLevel="0" collapsed="false">
      <c r="A156" s="7" t="n">
        <v>155</v>
      </c>
      <c r="B156" s="16" t="s">
        <v>1241</v>
      </c>
      <c r="C156" s="16" t="s">
        <v>1242</v>
      </c>
      <c r="D156" s="16" t="s">
        <v>752</v>
      </c>
      <c r="E156" s="16" t="s">
        <v>751</v>
      </c>
    </row>
    <row r="157" customFormat="false" ht="16.5" hidden="false" customHeight="true" outlineLevel="0" collapsed="false">
      <c r="A157" s="7" t="n">
        <v>156</v>
      </c>
      <c r="B157" s="16" t="s">
        <v>1243</v>
      </c>
      <c r="C157" s="16" t="s">
        <v>1073</v>
      </c>
      <c r="D157" s="16" t="s">
        <v>403</v>
      </c>
      <c r="E157" s="16" t="s">
        <v>402</v>
      </c>
    </row>
    <row r="158" customFormat="false" ht="16.5" hidden="false" customHeight="true" outlineLevel="0" collapsed="false">
      <c r="A158" s="7" t="n">
        <v>157</v>
      </c>
      <c r="B158" s="16" t="s">
        <v>1244</v>
      </c>
      <c r="C158" s="16" t="s">
        <v>1107</v>
      </c>
      <c r="D158" s="16" t="s">
        <v>213</v>
      </c>
      <c r="E158" s="16" t="s">
        <v>212</v>
      </c>
    </row>
    <row r="159" customFormat="false" ht="16.5" hidden="false" customHeight="true" outlineLevel="0" collapsed="false">
      <c r="A159" s="7" t="n">
        <v>158</v>
      </c>
      <c r="B159" s="16" t="s">
        <v>1245</v>
      </c>
      <c r="C159" s="16" t="s">
        <v>1246</v>
      </c>
      <c r="D159" s="16" t="s">
        <v>103</v>
      </c>
      <c r="E159" s="16" t="s">
        <v>102</v>
      </c>
    </row>
    <row r="160" customFormat="false" ht="16.5" hidden="false" customHeight="true" outlineLevel="0" collapsed="false">
      <c r="A160" s="7" t="n">
        <v>159</v>
      </c>
      <c r="B160" s="16" t="s">
        <v>1247</v>
      </c>
      <c r="C160" s="16" t="s">
        <v>1248</v>
      </c>
      <c r="D160" s="16" t="s">
        <v>873</v>
      </c>
      <c r="E160" s="16" t="s">
        <v>872</v>
      </c>
    </row>
    <row r="161" customFormat="false" ht="16.5" hidden="false" customHeight="true" outlineLevel="0" collapsed="false">
      <c r="A161" s="7" t="n">
        <v>160</v>
      </c>
      <c r="B161" s="16" t="s">
        <v>1249</v>
      </c>
      <c r="C161" s="16" t="s">
        <v>1250</v>
      </c>
      <c r="D161" s="16" t="s">
        <v>199</v>
      </c>
      <c r="E161" s="16" t="s">
        <v>198</v>
      </c>
    </row>
    <row r="162" customFormat="false" ht="16.5" hidden="false" customHeight="true" outlineLevel="0" collapsed="false">
      <c r="A162" s="7" t="n">
        <v>161</v>
      </c>
      <c r="B162" s="16" t="s">
        <v>1251</v>
      </c>
      <c r="C162" s="16" t="s">
        <v>1252</v>
      </c>
      <c r="D162" s="16" t="s">
        <v>137</v>
      </c>
      <c r="E162" s="16" t="s">
        <v>136</v>
      </c>
    </row>
    <row r="163" customFormat="false" ht="16.5" hidden="false" customHeight="true" outlineLevel="0" collapsed="false">
      <c r="A163" s="7" t="n">
        <v>162</v>
      </c>
      <c r="B163" s="16" t="s">
        <v>1253</v>
      </c>
      <c r="C163" s="16" t="s">
        <v>1254</v>
      </c>
      <c r="D163" s="16" t="s">
        <v>411</v>
      </c>
      <c r="E163" s="16" t="s">
        <v>410</v>
      </c>
    </row>
    <row r="164" customFormat="false" ht="16.5" hidden="false" customHeight="true" outlineLevel="0" collapsed="false">
      <c r="A164" s="7" t="n">
        <v>163</v>
      </c>
      <c r="B164" s="16" t="s">
        <v>1255</v>
      </c>
      <c r="C164" s="16" t="s">
        <v>1256</v>
      </c>
      <c r="D164" s="16" t="s">
        <v>729</v>
      </c>
      <c r="E164" s="16" t="s">
        <v>728</v>
      </c>
    </row>
    <row r="165" customFormat="false" ht="16.5" hidden="false" customHeight="true" outlineLevel="0" collapsed="false">
      <c r="A165" s="7" t="n">
        <v>164</v>
      </c>
      <c r="B165" s="16" t="s">
        <v>1257</v>
      </c>
      <c r="C165" s="16" t="s">
        <v>1258</v>
      </c>
      <c r="D165" s="16" t="s">
        <v>904</v>
      </c>
      <c r="E165" s="16" t="s">
        <v>903</v>
      </c>
    </row>
    <row r="166" customFormat="false" ht="16.5" hidden="false" customHeight="true" outlineLevel="0" collapsed="false">
      <c r="A166" s="7" t="n">
        <v>165</v>
      </c>
      <c r="B166" s="16" t="s">
        <v>1259</v>
      </c>
      <c r="C166" s="16" t="s">
        <v>1260</v>
      </c>
      <c r="D166" s="16" t="s">
        <v>221</v>
      </c>
      <c r="E166" s="16" t="s">
        <v>220</v>
      </c>
    </row>
    <row r="167" customFormat="false" ht="16.5" hidden="false" customHeight="true" outlineLevel="0" collapsed="false">
      <c r="A167" s="7" t="n">
        <v>166</v>
      </c>
      <c r="B167" s="16" t="s">
        <v>1261</v>
      </c>
      <c r="C167" s="16" t="s">
        <v>1220</v>
      </c>
      <c r="D167" s="16" t="s">
        <v>148</v>
      </c>
      <c r="E167" s="16" t="s">
        <v>147</v>
      </c>
    </row>
    <row r="168" customFormat="false" ht="16.5" hidden="false" customHeight="true" outlineLevel="0" collapsed="false">
      <c r="A168" s="7" t="n">
        <v>167</v>
      </c>
      <c r="B168" s="16" t="s">
        <v>1262</v>
      </c>
      <c r="C168" s="16" t="s">
        <v>1263</v>
      </c>
      <c r="D168" s="16" t="s">
        <v>371</v>
      </c>
      <c r="E168" s="16" t="s">
        <v>370</v>
      </c>
    </row>
    <row r="169" customFormat="false" ht="16.5" hidden="false" customHeight="true" outlineLevel="0" collapsed="false">
      <c r="A169" s="7" t="n">
        <v>168</v>
      </c>
      <c r="B169" s="16" t="s">
        <v>1264</v>
      </c>
      <c r="C169" s="16" t="s">
        <v>1265</v>
      </c>
      <c r="D169" s="16" t="s">
        <v>256</v>
      </c>
      <c r="E169" s="16" t="s">
        <v>255</v>
      </c>
    </row>
    <row r="170" customFormat="false" ht="30" hidden="false" customHeight="true" outlineLevel="0" collapsed="false">
      <c r="A170" s="7" t="n">
        <v>169</v>
      </c>
      <c r="B170" s="16" t="s">
        <v>1266</v>
      </c>
      <c r="C170" s="16" t="s">
        <v>1267</v>
      </c>
      <c r="D170" s="16" t="s">
        <v>690</v>
      </c>
      <c r="E170" s="16" t="s">
        <v>689</v>
      </c>
    </row>
    <row r="171" customFormat="false" ht="16.5" hidden="false" customHeight="true" outlineLevel="0" collapsed="false">
      <c r="A171" s="7" t="n">
        <v>170</v>
      </c>
      <c r="B171" s="16" t="s">
        <v>1268</v>
      </c>
      <c r="C171" s="16" t="s">
        <v>1269</v>
      </c>
      <c r="D171" s="16" t="s">
        <v>123</v>
      </c>
      <c r="E171" s="16" t="s">
        <v>122</v>
      </c>
    </row>
    <row r="172" customFormat="false" ht="16.5" hidden="false" customHeight="true" outlineLevel="0" collapsed="false">
      <c r="A172" s="7" t="n">
        <v>171</v>
      </c>
      <c r="B172" s="16" t="s">
        <v>1270</v>
      </c>
      <c r="C172" s="16" t="s">
        <v>1271</v>
      </c>
      <c r="D172" s="16" t="s">
        <v>895</v>
      </c>
      <c r="E172" s="16" t="s">
        <v>894</v>
      </c>
    </row>
    <row r="173" customFormat="false" ht="16.5" hidden="false" customHeight="true" outlineLevel="0" collapsed="false">
      <c r="A173" s="7" t="n">
        <v>172</v>
      </c>
      <c r="B173" s="16" t="s">
        <v>1272</v>
      </c>
      <c r="C173" s="16" t="s">
        <v>1273</v>
      </c>
      <c r="D173" s="16" t="s">
        <v>845</v>
      </c>
      <c r="E173" s="16" t="s">
        <v>844</v>
      </c>
    </row>
    <row r="174" customFormat="false" ht="16.5" hidden="false" customHeight="true" outlineLevel="0" collapsed="false">
      <c r="A174" s="7" t="n">
        <v>173</v>
      </c>
      <c r="B174" s="16" t="s">
        <v>1274</v>
      </c>
      <c r="C174" s="16" t="s">
        <v>1275</v>
      </c>
      <c r="D174" s="16" t="s">
        <v>283</v>
      </c>
      <c r="E174" s="16" t="s">
        <v>282</v>
      </c>
    </row>
    <row r="175" customFormat="false" ht="16.5" hidden="false" customHeight="true" outlineLevel="0" collapsed="false">
      <c r="A175" s="7" t="n">
        <v>174</v>
      </c>
      <c r="B175" s="16" t="s">
        <v>1276</v>
      </c>
      <c r="C175" s="16" t="s">
        <v>1277</v>
      </c>
      <c r="D175" s="16" t="s">
        <v>737</v>
      </c>
      <c r="E175" s="16" t="s">
        <v>736</v>
      </c>
    </row>
    <row r="176" customFormat="false" ht="16.5" hidden="false" customHeight="true" outlineLevel="0" collapsed="false">
      <c r="A176" s="7" t="n">
        <v>175</v>
      </c>
      <c r="B176" s="16" t="s">
        <v>1278</v>
      </c>
      <c r="C176" s="16" t="s">
        <v>1279</v>
      </c>
      <c r="D176" s="16" t="s">
        <v>312</v>
      </c>
      <c r="E176" s="16" t="s">
        <v>311</v>
      </c>
    </row>
    <row r="177" customFormat="false" ht="16.5" hidden="false" customHeight="true" outlineLevel="0" collapsed="false">
      <c r="A177" s="7" t="n">
        <v>176</v>
      </c>
      <c r="B177" s="16" t="s">
        <v>1280</v>
      </c>
      <c r="C177" s="16" t="s">
        <v>1281</v>
      </c>
      <c r="D177" s="16" t="s">
        <v>480</v>
      </c>
      <c r="E177" s="16" t="s">
        <v>479</v>
      </c>
    </row>
    <row r="178" customFormat="false" ht="16.5" hidden="false" customHeight="true" outlineLevel="0" collapsed="false">
      <c r="A178" s="7" t="n">
        <v>177</v>
      </c>
      <c r="B178" s="16" t="s">
        <v>1282</v>
      </c>
      <c r="C178" s="16" t="s">
        <v>1283</v>
      </c>
      <c r="D178" s="16" t="s">
        <v>462</v>
      </c>
      <c r="E178" s="16" t="s">
        <v>461</v>
      </c>
    </row>
    <row r="179" customFormat="false" ht="16.5" hidden="false" customHeight="true" outlineLevel="0" collapsed="false">
      <c r="A179" s="7" t="n">
        <v>178</v>
      </c>
      <c r="B179" s="16" t="s">
        <v>1284</v>
      </c>
      <c r="C179" s="16" t="s">
        <v>1285</v>
      </c>
      <c r="D179" s="16" t="s">
        <v>419</v>
      </c>
      <c r="E179" s="16" t="s">
        <v>418</v>
      </c>
    </row>
    <row r="180" customFormat="false" ht="16.5" hidden="false" customHeight="true" outlineLevel="0" collapsed="false">
      <c r="A180" s="7" t="n">
        <v>179</v>
      </c>
      <c r="B180" s="16" t="s">
        <v>1286</v>
      </c>
      <c r="C180" s="16" t="s">
        <v>1287</v>
      </c>
      <c r="D180" s="16" t="s">
        <v>81</v>
      </c>
      <c r="E180" s="16" t="s">
        <v>80</v>
      </c>
    </row>
    <row r="181" customFormat="false" ht="16.5" hidden="false" customHeight="true" outlineLevel="0" collapsed="false">
      <c r="A181" s="7" t="n">
        <v>180</v>
      </c>
      <c r="B181" s="16" t="s">
        <v>1288</v>
      </c>
      <c r="C181" s="16" t="s">
        <v>1289</v>
      </c>
      <c r="D181" s="16" t="s">
        <v>458</v>
      </c>
      <c r="E181" s="16" t="s">
        <v>457</v>
      </c>
    </row>
    <row r="182" customFormat="false" ht="30" hidden="false" customHeight="true" outlineLevel="0" collapsed="false">
      <c r="A182" s="7" t="n">
        <v>181</v>
      </c>
      <c r="B182" s="16" t="s">
        <v>1290</v>
      </c>
      <c r="C182" s="16" t="s">
        <v>1291</v>
      </c>
      <c r="D182" s="16" t="s">
        <v>1292</v>
      </c>
      <c r="E182" s="16" t="s">
        <v>1293</v>
      </c>
    </row>
    <row r="183" customFormat="false" ht="30" hidden="false" customHeight="true" outlineLevel="0" collapsed="false">
      <c r="A183" s="7" t="n">
        <v>182</v>
      </c>
      <c r="B183" s="16" t="s">
        <v>1294</v>
      </c>
      <c r="C183" s="16" t="s">
        <v>1295</v>
      </c>
      <c r="D183" s="16" t="s">
        <v>1296</v>
      </c>
      <c r="E183" s="16" t="s">
        <v>1297</v>
      </c>
    </row>
    <row r="184" customFormat="false" ht="30" hidden="false" customHeight="true" outlineLevel="0" collapsed="false">
      <c r="A184" s="7" t="n">
        <v>183</v>
      </c>
      <c r="B184" s="16" t="s">
        <v>1298</v>
      </c>
      <c r="C184" s="16" t="s">
        <v>1299</v>
      </c>
      <c r="D184" s="16" t="s">
        <v>1300</v>
      </c>
      <c r="E184" s="16" t="s">
        <v>1301</v>
      </c>
    </row>
    <row r="185" customFormat="false" ht="16.5" hidden="false" customHeight="true" outlineLevel="0" collapsed="false">
      <c r="A185" s="7" t="n">
        <v>184</v>
      </c>
      <c r="B185" s="16" t="s">
        <v>1302</v>
      </c>
      <c r="C185" s="16" t="s">
        <v>1303</v>
      </c>
      <c r="D185" s="16" t="s">
        <v>1304</v>
      </c>
      <c r="E185" s="16" t="s">
        <v>1305</v>
      </c>
    </row>
    <row r="186" customFormat="false" ht="16.5" hidden="false" customHeight="true" outlineLevel="0" collapsed="false">
      <c r="A186" s="7" t="n">
        <v>185</v>
      </c>
      <c r="B186" s="16" t="s">
        <v>1306</v>
      </c>
      <c r="C186" s="16" t="s">
        <v>1307</v>
      </c>
      <c r="D186" s="16" t="s">
        <v>1308</v>
      </c>
      <c r="E186" s="16" t="s">
        <v>1309</v>
      </c>
    </row>
  </sheetData>
  <autoFilter ref="A1:E186"/>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2026-10-15T18:25:42Z</dcterms:created>
  <dc:creator>openpyxl</dc:creator>
  <dc:description/>
  <dc:language>en-US</dc:language>
  <cp:lastModifiedBy/>
  <dcterms:modified xsi:type="dcterms:W3CDTF">2026-10-15T18:25:42Z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